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oding\qdc\templates\excel\"/>
    </mc:Choice>
  </mc:AlternateContent>
  <xr:revisionPtr revIDLastSave="0" documentId="8_{A5575EC1-73F7-4CA6-A72A-4264C45F6520}" xr6:coauthVersionLast="47" xr6:coauthVersionMax="47" xr10:uidLastSave="{00000000-0000-0000-0000-000000000000}"/>
  <bookViews>
    <workbookView xWindow="-120" yWindow="-120" windowWidth="29040" windowHeight="15720" xr2:uid="{DF6B7AB6-04AF-4C85-88DB-F84D8222D170}"/>
  </bookViews>
  <sheets>
    <sheet name="FQMS" sheetId="1" r:id="rId1"/>
  </sheets>
  <externalReferences>
    <externalReference r:id="rId2"/>
  </externalReferences>
  <definedNames>
    <definedName name="_xlnm.Print_Area" localSheetId="0">FQMS!$A$1:$S$83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2" i="1" l="1"/>
  <c r="J82" i="1"/>
  <c r="J81" i="1"/>
  <c r="L81" i="1" s="1"/>
  <c r="K80" i="1"/>
  <c r="J80" i="1"/>
  <c r="J79" i="1"/>
  <c r="L79" i="1" s="1"/>
  <c r="K78" i="1"/>
  <c r="J78" i="1"/>
  <c r="J77" i="1"/>
  <c r="L77" i="1" s="1"/>
  <c r="L76" i="1"/>
  <c r="K76" i="1"/>
  <c r="J76" i="1"/>
  <c r="J75" i="1"/>
  <c r="L75" i="1" s="1"/>
  <c r="L74" i="1"/>
  <c r="K74" i="1"/>
  <c r="J74" i="1"/>
  <c r="J73" i="1"/>
  <c r="L73" i="1" s="1"/>
  <c r="L72" i="1"/>
  <c r="K72" i="1"/>
  <c r="J72" i="1"/>
  <c r="J71" i="1"/>
  <c r="L71" i="1" s="1"/>
  <c r="L70" i="1"/>
  <c r="K70" i="1"/>
  <c r="J70" i="1"/>
  <c r="J69" i="1"/>
  <c r="L69" i="1" s="1"/>
  <c r="L68" i="1"/>
  <c r="K68" i="1"/>
  <c r="J68" i="1"/>
  <c r="J67" i="1"/>
  <c r="L67" i="1" s="1"/>
  <c r="L66" i="1"/>
  <c r="K66" i="1"/>
  <c r="J66" i="1"/>
  <c r="J65" i="1"/>
  <c r="L65" i="1" s="1"/>
  <c r="K64" i="1"/>
  <c r="J64" i="1"/>
  <c r="J63" i="1"/>
  <c r="L63" i="1" s="1"/>
  <c r="K62" i="1"/>
  <c r="J62" i="1"/>
  <c r="J61" i="1"/>
  <c r="L61" i="1" s="1"/>
  <c r="K60" i="1"/>
  <c r="J60" i="1"/>
  <c r="J59" i="1"/>
  <c r="L59" i="1" s="1"/>
  <c r="L58" i="1"/>
  <c r="K58" i="1"/>
  <c r="J58" i="1"/>
  <c r="J57" i="1"/>
  <c r="L57" i="1" s="1"/>
  <c r="L56" i="1"/>
  <c r="K56" i="1"/>
  <c r="J56" i="1"/>
  <c r="J55" i="1"/>
  <c r="L55" i="1" s="1"/>
  <c r="L54" i="1"/>
  <c r="K54" i="1"/>
  <c r="J54" i="1"/>
  <c r="J53" i="1"/>
  <c r="L53" i="1" s="1"/>
  <c r="L52" i="1"/>
  <c r="K52" i="1"/>
  <c r="J52" i="1"/>
  <c r="J51" i="1"/>
  <c r="L51" i="1" s="1"/>
  <c r="L50" i="1"/>
  <c r="K50" i="1"/>
  <c r="J50" i="1"/>
  <c r="J49" i="1"/>
  <c r="L49" i="1" s="1"/>
  <c r="L48" i="1"/>
  <c r="K48" i="1"/>
  <c r="J48" i="1"/>
  <c r="J47" i="1"/>
  <c r="L47" i="1" s="1"/>
  <c r="K46" i="1"/>
  <c r="J46" i="1"/>
  <c r="J45" i="1"/>
  <c r="L45" i="1" s="1"/>
  <c r="K44" i="1"/>
  <c r="J44" i="1"/>
  <c r="J43" i="1"/>
  <c r="L43" i="1" s="1"/>
  <c r="K42" i="1"/>
  <c r="J42" i="1"/>
  <c r="J41" i="1"/>
  <c r="L41" i="1" s="1"/>
  <c r="H37" i="1"/>
  <c r="G37" i="1"/>
  <c r="I36" i="1"/>
  <c r="F36" i="1"/>
  <c r="L80" i="1" s="1"/>
  <c r="E36" i="1"/>
  <c r="N36" i="1" s="1"/>
  <c r="I35" i="1"/>
  <c r="F35" i="1"/>
  <c r="L78" i="1" s="1"/>
  <c r="E35" i="1"/>
  <c r="N35" i="1" s="1"/>
  <c r="J34" i="1"/>
  <c r="M34" i="1" s="1"/>
  <c r="I34" i="1"/>
  <c r="F34" i="1"/>
  <c r="K34" i="1" s="1"/>
  <c r="E34" i="1"/>
  <c r="N34" i="1" s="1"/>
  <c r="K33" i="1"/>
  <c r="J33" i="1"/>
  <c r="M33" i="1" s="1"/>
  <c r="I33" i="1"/>
  <c r="F33" i="1"/>
  <c r="E33" i="1"/>
  <c r="N33" i="1" s="1"/>
  <c r="K32" i="1"/>
  <c r="I32" i="1"/>
  <c r="F32" i="1"/>
  <c r="J32" i="1" s="1"/>
  <c r="M32" i="1" s="1"/>
  <c r="E32" i="1"/>
  <c r="N32" i="1" s="1"/>
  <c r="I31" i="1"/>
  <c r="F31" i="1"/>
  <c r="K31" i="1" s="1"/>
  <c r="E31" i="1"/>
  <c r="J31" i="1" s="1"/>
  <c r="M31" i="1" s="1"/>
  <c r="I30" i="1"/>
  <c r="F30" i="1"/>
  <c r="L64" i="1" s="1"/>
  <c r="E30" i="1"/>
  <c r="N30" i="1" s="1"/>
  <c r="I29" i="1"/>
  <c r="F29" i="1"/>
  <c r="K29" i="1" s="1"/>
  <c r="E29" i="1"/>
  <c r="N29" i="1" s="1"/>
  <c r="J28" i="1"/>
  <c r="M28" i="1" s="1"/>
  <c r="I28" i="1"/>
  <c r="F28" i="1"/>
  <c r="K28" i="1" s="1"/>
  <c r="E28" i="1"/>
  <c r="N28" i="1" s="1"/>
  <c r="I27" i="1"/>
  <c r="F27" i="1"/>
  <c r="E27" i="1"/>
  <c r="N27" i="1" s="1"/>
  <c r="K26" i="1"/>
  <c r="I26" i="1"/>
  <c r="F26" i="1"/>
  <c r="J26" i="1" s="1"/>
  <c r="M26" i="1" s="1"/>
  <c r="E26" i="1"/>
  <c r="N26" i="1" s="1"/>
  <c r="I25" i="1"/>
  <c r="F25" i="1"/>
  <c r="K25" i="1" s="1"/>
  <c r="E25" i="1"/>
  <c r="J25" i="1" s="1"/>
  <c r="M25" i="1" s="1"/>
  <c r="I24" i="1"/>
  <c r="F24" i="1"/>
  <c r="J24" i="1" s="1"/>
  <c r="M24" i="1" s="1"/>
  <c r="E24" i="1"/>
  <c r="N24" i="1" s="1"/>
  <c r="I23" i="1"/>
  <c r="I37" i="1" s="1"/>
  <c r="F23" i="1"/>
  <c r="F37" i="1" s="1"/>
  <c r="E23" i="1"/>
  <c r="N23" i="1" s="1"/>
  <c r="S11" i="1"/>
  <c r="R11" i="1"/>
  <c r="Q11" i="1"/>
  <c r="P11" i="1"/>
  <c r="O11" i="1"/>
  <c r="N11" i="1"/>
  <c r="M11" i="1"/>
  <c r="J27" i="1" l="1"/>
  <c r="M27" i="1" s="1"/>
  <c r="N25" i="1"/>
  <c r="N37" i="1" s="1"/>
  <c r="K27" i="1"/>
  <c r="L42" i="1"/>
  <c r="L60" i="1"/>
  <c r="L62" i="1"/>
  <c r="L82" i="1"/>
  <c r="J23" i="1"/>
  <c r="M23" i="1" s="1"/>
  <c r="J29" i="1"/>
  <c r="M29" i="1" s="1"/>
  <c r="J35" i="1"/>
  <c r="M35" i="1" s="1"/>
  <c r="J30" i="1"/>
  <c r="M30" i="1" s="1"/>
  <c r="K35" i="1"/>
  <c r="J36" i="1"/>
  <c r="M36" i="1" s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N31" i="1"/>
  <c r="L46" i="1"/>
  <c r="K23" i="1"/>
  <c r="K24" i="1"/>
  <c r="K30" i="1"/>
  <c r="K36" i="1"/>
  <c r="L44" i="1"/>
  <c r="J37" i="1" l="1"/>
  <c r="K37" i="1"/>
</calcChain>
</file>

<file path=xl/sharedStrings.xml><?xml version="1.0" encoding="utf-8"?>
<sst xmlns="http://schemas.openxmlformats.org/spreadsheetml/2006/main" count="123" uniqueCount="56">
  <si>
    <t>FIELD QUALITY MONITORING SHEET</t>
  </si>
  <si>
    <t>Product</t>
  </si>
  <si>
    <t>: LCD</t>
  </si>
  <si>
    <t>REPORTING MONTH</t>
  </si>
  <si>
    <t>Vendor</t>
  </si>
  <si>
    <t>: LOCAL</t>
  </si>
  <si>
    <t>A. Quality Trend</t>
  </si>
  <si>
    <t>B. Acceptance Ratio (OK status Vs Total Monitored Model)</t>
  </si>
  <si>
    <t>2025FH</t>
  </si>
  <si>
    <t>Total Model</t>
  </si>
  <si>
    <t>OK Models</t>
  </si>
  <si>
    <t>NG Models</t>
  </si>
  <si>
    <t>Accept. Ratio</t>
  </si>
  <si>
    <t>C. Detail Model</t>
  </si>
  <si>
    <t>Model</t>
  </si>
  <si>
    <t>Lauching</t>
  </si>
  <si>
    <t>Sales</t>
  </si>
  <si>
    <t>Claims Qty</t>
  </si>
  <si>
    <t>AVG (PPM)</t>
  </si>
  <si>
    <t>Target Monthly PPM</t>
  </si>
  <si>
    <t>Defect Quality Level</t>
  </si>
  <si>
    <t>Month</t>
  </si>
  <si>
    <t>Period</t>
  </si>
  <si>
    <t>Defect</t>
  </si>
  <si>
    <t>Non Defect</t>
  </si>
  <si>
    <t>Total</t>
  </si>
  <si>
    <t>Model A</t>
  </si>
  <si>
    <t xml:space="preserve"> </t>
  </si>
  <si>
    <t>Model B</t>
  </si>
  <si>
    <t>Model C</t>
  </si>
  <si>
    <t>Model D</t>
  </si>
  <si>
    <t>Model E</t>
  </si>
  <si>
    <t>Model F</t>
  </si>
  <si>
    <t>Model G</t>
  </si>
  <si>
    <t xml:space="preserve">Model H </t>
  </si>
  <si>
    <t>Model I</t>
  </si>
  <si>
    <t>Model J</t>
  </si>
  <si>
    <t>Model K</t>
  </si>
  <si>
    <t>Model L</t>
  </si>
  <si>
    <t>Model M</t>
  </si>
  <si>
    <t>Model N</t>
  </si>
  <si>
    <t>D. Worst Defect</t>
  </si>
  <si>
    <t xml:space="preserve">   D. Quality Issue and Follow Up</t>
  </si>
  <si>
    <t>Defective</t>
  </si>
  <si>
    <t>~Dec'25</t>
  </si>
  <si>
    <t>Jan'26</t>
  </si>
  <si>
    <t>Feb'26</t>
  </si>
  <si>
    <t>Mar'26</t>
  </si>
  <si>
    <t>Defect Occup</t>
  </si>
  <si>
    <t>Defect PPM</t>
  </si>
  <si>
    <t>Main Unit Defect</t>
  </si>
  <si>
    <t>Panel Defect</t>
  </si>
  <si>
    <t>Remote Defect</t>
  </si>
  <si>
    <t>Software Correction</t>
  </si>
  <si>
    <t>Power Unit Defect</t>
  </si>
  <si>
    <t>Reinsert LVDS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</si>
</sst>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theme="1" tint="0.249977111117893"/>
      <name val="Calibri"/>
      <family val="2"/>
    </font>
    <font>
      <sz val="9"/>
      <color theme="1" tint="0.249977111117893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B050"/>
      <name val="Calibri"/>
      <family val="2"/>
      <scheme val="minor"/>
    </font>
    <font>
      <sz val="10"/>
      <name val="Tahoma"/>
      <family val="2"/>
    </font>
    <font>
      <b/>
      <sz val="10"/>
      <color theme="1" tint="0.24997711111789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6" fillId="0" borderId="0" xfId="0" applyFont="1"/>
    <xf numFmtId="0" fontId="4" fillId="2" borderId="0" xfId="0" applyFont="1" applyFill="1"/>
    <xf numFmtId="0" fontId="2" fillId="2" borderId="0" xfId="0" applyFont="1" applyFill="1"/>
    <xf numFmtId="0" fontId="7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17" fontId="8" fillId="2" borderId="0" xfId="0" applyNumberFormat="1" applyFont="1" applyFill="1"/>
    <xf numFmtId="17" fontId="9" fillId="2" borderId="0" xfId="0" applyNumberFormat="1" applyFont="1" applyFill="1" applyAlignment="1">
      <alignment horizontal="right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/>
    </xf>
    <xf numFmtId="17" fontId="12" fillId="3" borderId="2" xfId="0" applyNumberFormat="1" applyFont="1" applyFill="1" applyBorder="1" applyAlignment="1">
      <alignment horizontal="center" vertical="center"/>
    </xf>
    <xf numFmtId="17" fontId="12" fillId="3" borderId="3" xfId="0" applyNumberFormat="1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2" xfId="0" applyFont="1" applyBorder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4" borderId="1" xfId="0" applyFont="1" applyFill="1" applyBorder="1"/>
    <xf numFmtId="0" fontId="13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9" fontId="15" fillId="2" borderId="2" xfId="1" applyFont="1" applyFill="1" applyBorder="1" applyAlignment="1">
      <alignment horizontal="center" vertical="center"/>
    </xf>
    <xf numFmtId="9" fontId="15" fillId="2" borderId="3" xfId="1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17" fontId="18" fillId="0" borderId="2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3" fontId="18" fillId="0" borderId="2" xfId="2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" fillId="0" borderId="0" xfId="0" applyFont="1"/>
    <xf numFmtId="3" fontId="0" fillId="0" borderId="0" xfId="0" applyNumberFormat="1"/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left" vertical="center"/>
    </xf>
    <xf numFmtId="17" fontId="18" fillId="4" borderId="2" xfId="0" applyNumberFormat="1" applyFont="1" applyFill="1" applyBorder="1" applyAlignment="1">
      <alignment horizontal="center" vertical="center"/>
    </xf>
    <xf numFmtId="3" fontId="18" fillId="4" borderId="2" xfId="0" applyNumberFormat="1" applyFont="1" applyFill="1" applyBorder="1" applyAlignment="1">
      <alignment horizontal="center" vertical="center"/>
    </xf>
    <xf numFmtId="3" fontId="18" fillId="4" borderId="2" xfId="2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1" fillId="0" borderId="0" xfId="0" applyFont="1"/>
    <xf numFmtId="3" fontId="15" fillId="2" borderId="1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/>
    </xf>
    <xf numFmtId="3" fontId="16" fillId="0" borderId="0" xfId="0" applyNumberFormat="1" applyFont="1"/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/>
    </xf>
    <xf numFmtId="0" fontId="18" fillId="0" borderId="4" xfId="0" applyFont="1" applyBorder="1"/>
    <xf numFmtId="3" fontId="18" fillId="0" borderId="4" xfId="0" applyNumberFormat="1" applyFont="1" applyBorder="1" applyAlignment="1">
      <alignment horizontal="center"/>
    </xf>
    <xf numFmtId="9" fontId="18" fillId="0" borderId="4" xfId="1" applyFont="1" applyBorder="1" applyAlignment="1">
      <alignment horizontal="center"/>
    </xf>
    <xf numFmtId="3" fontId="18" fillId="0" borderId="4" xfId="0" applyNumberFormat="1" applyFont="1" applyBorder="1" applyAlignment="1">
      <alignment horizontal="right"/>
    </xf>
    <xf numFmtId="0" fontId="18" fillId="4" borderId="4" xfId="0" applyFont="1" applyFill="1" applyBorder="1"/>
    <xf numFmtId="3" fontId="18" fillId="4" borderId="4" xfId="0" applyNumberFormat="1" applyFont="1" applyFill="1" applyBorder="1" applyAlignment="1">
      <alignment horizontal="center"/>
    </xf>
    <xf numFmtId="9" fontId="18" fillId="4" borderId="4" xfId="1" applyFont="1" applyFill="1" applyBorder="1" applyAlignment="1">
      <alignment horizontal="center"/>
    </xf>
    <xf numFmtId="3" fontId="18" fillId="4" borderId="4" xfId="0" applyNumberFormat="1" applyFont="1" applyFill="1" applyBorder="1" applyAlignment="1">
      <alignment horizontal="right"/>
    </xf>
  </cellXfs>
  <cellStyles count="3">
    <cellStyle name="Normal" xfId="0" builtinId="0"/>
    <cellStyle name="Percent" xfId="1" builtinId="5"/>
    <cellStyle name="Percent 6" xfId="2" xr:uid="{EC42B277-ED0C-44CD-974C-CB8FB937AC68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2456405680962"/>
          <c:y val="9.6384430366322452E-2"/>
          <c:w val="0.84864644482634277"/>
          <c:h val="0.7105560970414061"/>
        </c:manualLayout>
      </c:layout>
      <c:barChart>
        <c:barDir val="col"/>
        <c:grouping val="clustered"/>
        <c:varyColors val="0"/>
        <c:ser>
          <c:idx val="1"/>
          <c:order val="1"/>
          <c:tx>
            <c:v>Result</c:v>
          </c:tx>
          <c:spPr>
            <a:solidFill>
              <a:schemeClr val="accent5">
                <a:lumMod val="75000"/>
              </a:schemeClr>
            </a:solidFill>
            <a:ln w="22225" cap="rnd" cmpd="sng" algn="ctr">
              <a:noFill/>
              <a:round/>
            </a:ln>
            <a:effectLst/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1B2-4470-B141-49E46A8C932B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1B2-4470-B141-49E46A8C932B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1B2-4470-B141-49E46A8C932B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1B2-4470-B141-49E46A8C932B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1B2-4470-B141-49E46A8C932B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1B2-4470-B141-49E46A8C932B}"/>
                </c:ext>
              </c:extLst>
            </c:dLbl>
            <c:dLbl>
              <c:idx val="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1B2-4470-B141-49E46A8C932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[1]Sheet1!$DZ$3:$EE$3</c:f>
              <c:numCache>
                <c:formatCode>General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[1]Sheet1!$DZ$5:$EE$5</c:f>
              <c:numCache>
                <c:formatCode>General</c:formatCode>
                <c:ptCount val="6"/>
                <c:pt idx="0">
                  <c:v>364</c:v>
                </c:pt>
                <c:pt idx="1">
                  <c:v>354</c:v>
                </c:pt>
                <c:pt idx="2">
                  <c:v>347</c:v>
                </c:pt>
                <c:pt idx="3">
                  <c:v>344</c:v>
                </c:pt>
                <c:pt idx="4">
                  <c:v>339</c:v>
                </c:pt>
                <c:pt idx="5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B2-4470-B141-49E46A8C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54792"/>
        <c:axId val="47749696"/>
      </c:barChart>
      <c:lineChart>
        <c:grouping val="standard"/>
        <c:varyColors val="0"/>
        <c:ser>
          <c:idx val="0"/>
          <c:order val="0"/>
          <c:tx>
            <c:v>Target</c:v>
          </c:tx>
          <c:spPr>
            <a:ln w="22225" cap="rnd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Ref>
              <c:f>[1]Sheet1!$DZ$3:$EE$3</c:f>
              <c:numCache>
                <c:formatCode>General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[1]Sheet1!$DZ$4:$EE$4</c:f>
              <c:numCache>
                <c:formatCode>General</c:formatCode>
                <c:ptCount val="6"/>
                <c:pt idx="0">
                  <c:v>383</c:v>
                </c:pt>
                <c:pt idx="1">
                  <c:v>383</c:v>
                </c:pt>
                <c:pt idx="2">
                  <c:v>383</c:v>
                </c:pt>
                <c:pt idx="3">
                  <c:v>383</c:v>
                </c:pt>
                <c:pt idx="4">
                  <c:v>383</c:v>
                </c:pt>
                <c:pt idx="5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B2-4470-B141-49E46A8C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54792"/>
        <c:axId val="47749696"/>
      </c:lineChart>
      <c:dateAx>
        <c:axId val="477547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49696"/>
        <c:crosses val="autoZero"/>
        <c:auto val="0"/>
        <c:lblOffset val="100"/>
        <c:baseTimeUnit val="months"/>
      </c:dateAx>
      <c:valAx>
        <c:axId val="477496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 sz="1000"/>
                  <a:t>Defect Ratio (ppm)</a:t>
                </a:r>
              </a:p>
            </c:rich>
          </c:tx>
          <c:layout>
            <c:manualLayout>
              <c:xMode val="edge"/>
              <c:yMode val="edge"/>
              <c:x val="1.559819468328511E-2"/>
              <c:y val="0.205169218281643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54792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546065220145605"/>
          <c:y val="5.4546881936751293E-2"/>
          <c:w val="0.29167424687884763"/>
          <c:h val="9.83920854408049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FQMS!$K$11:$L$11</c:f>
              <c:strCache>
                <c:ptCount val="2"/>
                <c:pt idx="0">
                  <c:v>Accept. Ratio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FQMS!$M$7:$S$7</c:f>
              <c:strCache>
                <c:ptCount val="7"/>
                <c:pt idx="0">
                  <c:v>2025FH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</c:strCache>
            </c:strRef>
          </c:cat>
          <c:val>
            <c:numRef>
              <c:f>FQMS!$M$11:$S$11</c:f>
              <c:numCache>
                <c:formatCode>0%</c:formatCode>
                <c:ptCount val="7"/>
                <c:pt idx="0">
                  <c:v>0.61111111111111116</c:v>
                </c:pt>
                <c:pt idx="1">
                  <c:v>0.7857142857142857</c:v>
                </c:pt>
                <c:pt idx="2">
                  <c:v>0.7857142857142857</c:v>
                </c:pt>
                <c:pt idx="3">
                  <c:v>0.7857142857142857</c:v>
                </c:pt>
                <c:pt idx="4">
                  <c:v>0.7142857142857143</c:v>
                </c:pt>
                <c:pt idx="5">
                  <c:v>0.7142857142857143</c:v>
                </c:pt>
                <c:pt idx="6">
                  <c:v>0.6428571428571429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8-4B53-A230-AABB631E6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752048"/>
        <c:axId val="47751656"/>
      </c:lineChart>
      <c:catAx>
        <c:axId val="477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1656"/>
        <c:crosses val="autoZero"/>
        <c:auto val="1"/>
        <c:lblAlgn val="ctr"/>
        <c:lblOffset val="100"/>
        <c:noMultiLvlLbl val="0"/>
      </c:catAx>
      <c:valAx>
        <c:axId val="47751656"/>
        <c:scaling>
          <c:orientation val="minMax"/>
          <c:max val="1"/>
          <c:min val="0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2048"/>
        <c:crosses val="autoZero"/>
        <c:crossBetween val="between"/>
        <c:majorUnit val="0.1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37421</xdr:colOff>
      <xdr:row>6</xdr:row>
      <xdr:rowOff>95932</xdr:rowOff>
    </xdr:from>
    <xdr:to>
      <xdr:col>9</xdr:col>
      <xdr:colOff>390525</xdr:colOff>
      <xdr:row>17</xdr:row>
      <xdr:rowOff>178595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0333A-34FE-4C28-8A15-D4556A99D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118040</xdr:colOff>
      <xdr:row>39</xdr:row>
      <xdr:rowOff>4384</xdr:rowOff>
    </xdr:from>
    <xdr:to>
      <xdr:col>17</xdr:col>
      <xdr:colOff>525236</xdr:colOff>
      <xdr:row>82</xdr:row>
      <xdr:rowOff>1</xdr:rowOff>
    </xdr:to>
    <xdr:sp macro="" textlink="">
      <xdr:nvSpPr>
        <xdr:cNvPr id="3" name="Rounded Rectangle 4">
          <a:extLst>
            <a:ext uri="{FF2B5EF4-FFF2-40B4-BE49-F238E27FC236}">
              <a16:creationId xmlns:a16="http://schemas.microsoft.com/office/drawing/2014/main" id="{88BD1E2A-6D43-4539-B15F-AC3B52C648CF}"/>
            </a:ext>
          </a:extLst>
        </xdr:cNvPr>
        <xdr:cNvSpPr/>
      </xdr:nvSpPr>
      <xdr:spPr>
        <a:xfrm>
          <a:off x="6509315" y="7910134"/>
          <a:ext cx="3074196" cy="8310942"/>
        </a:xfrm>
        <a:prstGeom prst="roundRect">
          <a:avLst>
            <a:gd name="adj" fmla="val 1663"/>
          </a:avLst>
        </a:prstGeom>
        <a:noFill/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10</xdr:col>
      <xdr:colOff>1</xdr:colOff>
      <xdr:row>11</xdr:row>
      <xdr:rowOff>75861</xdr:rowOff>
    </xdr:from>
    <xdr:to>
      <xdr:col>19</xdr:col>
      <xdr:colOff>1</xdr:colOff>
      <xdr:row>17</xdr:row>
      <xdr:rowOff>180975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8A11743-1D65-4F89-8269-7297F83EA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371198</xdr:colOff>
      <xdr:row>9</xdr:row>
      <xdr:rowOff>104520</xdr:rowOff>
    </xdr:from>
    <xdr:ext cx="340671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9386D2-6C4B-4CB5-AC6C-D60C3AAB9A59}"/>
            </a:ext>
          </a:extLst>
        </xdr:cNvPr>
        <xdr:cNvSpPr txBox="1"/>
      </xdr:nvSpPr>
      <xdr:spPr>
        <a:xfrm>
          <a:off x="4466948" y="1961895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800">
              <a:solidFill>
                <a:schemeClr val="accent6">
                  <a:lumMod val="75000"/>
                </a:schemeClr>
              </a:solidFill>
              <a:latin typeface="+mn-lt"/>
            </a:rPr>
            <a:t>383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oding\qdc\templates\FQMS%20-%20LCD%20LOCAL.xlsx" TargetMode="External"/><Relationship Id="rId1" Type="http://schemas.openxmlformats.org/officeDocument/2006/relationships/externalLinkPath" Target="/Koding/qdc/templates/FQMS%20-%20LCD%20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QMS"/>
      <sheetName val="Sheet2"/>
      <sheetName val="F-Cost"/>
      <sheetName val="Sheet3"/>
      <sheetName val="Sheet1"/>
      <sheetName val="FCost Detail"/>
      <sheetName val="Detail FCost"/>
      <sheetName val="Graph FCost"/>
    </sheetNames>
    <sheetDataSet>
      <sheetData sheetId="0">
        <row r="7">
          <cell r="M7" t="str">
            <v>2025FH</v>
          </cell>
          <cell r="N7">
            <v>45931</v>
          </cell>
          <cell r="O7">
            <v>45962</v>
          </cell>
          <cell r="P7">
            <v>45992</v>
          </cell>
          <cell r="Q7">
            <v>46023</v>
          </cell>
          <cell r="R7">
            <v>46054</v>
          </cell>
          <cell r="S7">
            <v>46082</v>
          </cell>
        </row>
        <row r="11">
          <cell r="K11" t="str">
            <v>Accept. Ratio</v>
          </cell>
          <cell r="M11">
            <v>0.61111111111111116</v>
          </cell>
          <cell r="N11">
            <v>0.7857142857142857</v>
          </cell>
          <cell r="O11">
            <v>0.7857142857142857</v>
          </cell>
          <cell r="P11">
            <v>0.7857142857142857</v>
          </cell>
          <cell r="Q11">
            <v>0.7142857142857143</v>
          </cell>
          <cell r="R11">
            <v>0.7142857142857143</v>
          </cell>
          <cell r="S11">
            <v>0.6428571428571429</v>
          </cell>
        </row>
      </sheetData>
      <sheetData sheetId="1" refreshError="1"/>
      <sheetData sheetId="2" refreshError="1"/>
      <sheetData sheetId="3" refreshError="1"/>
      <sheetData sheetId="4">
        <row r="3">
          <cell r="DZ3">
            <v>45931</v>
          </cell>
          <cell r="EA3">
            <v>45962</v>
          </cell>
          <cell r="EB3">
            <v>45992</v>
          </cell>
          <cell r="EC3">
            <v>46023</v>
          </cell>
          <cell r="ED3">
            <v>46054</v>
          </cell>
          <cell r="EE3">
            <v>46082</v>
          </cell>
        </row>
        <row r="4">
          <cell r="DZ4">
            <v>383</v>
          </cell>
          <cell r="EA4">
            <v>383</v>
          </cell>
          <cell r="EB4">
            <v>383</v>
          </cell>
          <cell r="EC4">
            <v>383</v>
          </cell>
          <cell r="ED4">
            <v>383</v>
          </cell>
          <cell r="EE4">
            <v>383</v>
          </cell>
        </row>
        <row r="5">
          <cell r="DZ5">
            <v>364</v>
          </cell>
          <cell r="EA5">
            <v>354</v>
          </cell>
          <cell r="EB5">
            <v>347</v>
          </cell>
          <cell r="EC5">
            <v>344</v>
          </cell>
          <cell r="ED5">
            <v>339</v>
          </cell>
          <cell r="EE5">
            <v>335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11A7-BD74-4417-959A-D556596A1296}">
  <sheetPr>
    <pageSetUpPr fitToPage="1"/>
  </sheetPr>
  <dimension ref="B1:V82"/>
  <sheetViews>
    <sheetView showGridLines="0" tabSelected="1" zoomScaleNormal="100" zoomScaleSheetLayoutView="80" workbookViewId="0">
      <selection activeCell="W27" sqref="W27"/>
    </sheetView>
  </sheetViews>
  <sheetFormatPr defaultRowHeight="15" x14ac:dyDescent="0.25"/>
  <cols>
    <col min="1" max="1" width="1.28515625" customWidth="1"/>
    <col min="2" max="2" width="3.140625" customWidth="1"/>
    <col min="3" max="3" width="12.5703125" customWidth="1"/>
    <col min="4" max="4" width="10" customWidth="1"/>
    <col min="5" max="5" width="8.5703125" customWidth="1"/>
    <col min="6" max="6" width="9.28515625" customWidth="1"/>
    <col min="7" max="8" width="8.28515625" customWidth="1"/>
    <col min="9" max="9" width="8.42578125" customWidth="1"/>
    <col min="10" max="11" width="8.42578125" style="1" customWidth="1"/>
    <col min="12" max="12" width="9.140625" style="1" customWidth="1"/>
    <col min="13" max="19" width="8" customWidth="1"/>
    <col min="20" max="21" width="9.28515625" customWidth="1"/>
    <col min="22" max="22" width="1.28515625" customWidth="1"/>
    <col min="23" max="23" width="13.42578125" bestFit="1" customWidth="1"/>
    <col min="24" max="24" width="12.85546875" bestFit="1" customWidth="1"/>
    <col min="25" max="25" width="23.85546875" bestFit="1" customWidth="1"/>
    <col min="26" max="26" width="21" bestFit="1" customWidth="1"/>
    <col min="31" max="31" width="5.85546875" customWidth="1"/>
    <col min="32" max="32" width="13" customWidth="1"/>
    <col min="33" max="33" width="11.42578125" bestFit="1" customWidth="1"/>
    <col min="34" max="34" width="14.85546875" customWidth="1"/>
    <col min="35" max="35" width="10.140625" customWidth="1"/>
    <col min="36" max="36" width="10.42578125" customWidth="1"/>
    <col min="37" max="37" width="10.7109375" customWidth="1"/>
    <col min="38" max="38" width="8.5703125" customWidth="1"/>
    <col min="39" max="39" width="24.85546875" bestFit="1" customWidth="1"/>
    <col min="42" max="42" width="11.5703125" bestFit="1" customWidth="1"/>
    <col min="43" max="44" width="5.85546875" customWidth="1"/>
  </cols>
  <sheetData>
    <row r="1" spans="2:20" ht="8.25" customHeight="1" x14ac:dyDescent="0.25"/>
    <row r="2" spans="2:20" ht="23.25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4"/>
    </row>
    <row r="3" spans="2:20" ht="18.75" customHeight="1" x14ac:dyDescent="0.25">
      <c r="B3" s="5" t="s">
        <v>1</v>
      </c>
      <c r="C3" s="5"/>
      <c r="D3" s="6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7" t="s">
        <v>3</v>
      </c>
      <c r="R3" s="7"/>
      <c r="S3" s="7"/>
      <c r="T3" s="4"/>
    </row>
    <row r="4" spans="2:20" ht="17.25" customHeight="1" x14ac:dyDescent="0.35">
      <c r="B4" s="5" t="s">
        <v>4</v>
      </c>
      <c r="C4" s="5"/>
      <c r="D4" s="6" t="s">
        <v>5</v>
      </c>
      <c r="E4" s="5"/>
      <c r="F4" s="5"/>
      <c r="G4" s="5"/>
      <c r="H4" s="5"/>
      <c r="I4" s="5"/>
      <c r="J4" s="8"/>
      <c r="K4" s="8"/>
      <c r="L4" s="8"/>
      <c r="M4" s="5"/>
      <c r="N4" s="5"/>
      <c r="O4" s="5"/>
      <c r="P4" s="5"/>
      <c r="Q4" s="9"/>
      <c r="R4" s="10">
        <v>46082</v>
      </c>
      <c r="S4" s="10"/>
      <c r="T4" s="4"/>
    </row>
    <row r="6" spans="2:20" s="12" customFormat="1" ht="18.75" customHeight="1" x14ac:dyDescent="0.25">
      <c r="B6" s="11" t="s">
        <v>6</v>
      </c>
      <c r="K6" s="11" t="s">
        <v>7</v>
      </c>
      <c r="L6" s="13"/>
      <c r="M6" s="13"/>
    </row>
    <row r="7" spans="2:20" x14ac:dyDescent="0.25">
      <c r="J7"/>
      <c r="K7" s="14"/>
      <c r="L7" s="15"/>
      <c r="M7" s="16" t="s">
        <v>8</v>
      </c>
      <c r="N7" s="17">
        <v>45931</v>
      </c>
      <c r="O7" s="17">
        <v>45962</v>
      </c>
      <c r="P7" s="17">
        <v>45992</v>
      </c>
      <c r="Q7" s="17">
        <v>46023</v>
      </c>
      <c r="R7" s="17">
        <v>46054</v>
      </c>
      <c r="S7" s="18">
        <v>46082</v>
      </c>
    </row>
    <row r="8" spans="2:20" x14ac:dyDescent="0.25">
      <c r="J8"/>
      <c r="K8" s="19" t="s">
        <v>9</v>
      </c>
      <c r="L8" s="20"/>
      <c r="M8" s="21">
        <v>18</v>
      </c>
      <c r="N8" s="21">
        <v>14</v>
      </c>
      <c r="O8" s="21">
        <v>14</v>
      </c>
      <c r="P8" s="21">
        <v>14</v>
      </c>
      <c r="Q8" s="21">
        <v>14</v>
      </c>
      <c r="R8" s="21">
        <v>14</v>
      </c>
      <c r="S8" s="22">
        <v>14</v>
      </c>
    </row>
    <row r="9" spans="2:20" x14ac:dyDescent="0.25">
      <c r="J9"/>
      <c r="K9" s="23" t="s">
        <v>10</v>
      </c>
      <c r="L9" s="24"/>
      <c r="M9" s="25">
        <v>11</v>
      </c>
      <c r="N9" s="25">
        <v>11</v>
      </c>
      <c r="O9" s="25">
        <v>11</v>
      </c>
      <c r="P9" s="25">
        <v>11</v>
      </c>
      <c r="Q9" s="25">
        <v>10</v>
      </c>
      <c r="R9" s="25">
        <v>10</v>
      </c>
      <c r="S9" s="26">
        <v>9</v>
      </c>
    </row>
    <row r="10" spans="2:20" x14ac:dyDescent="0.25">
      <c r="J10"/>
      <c r="K10" s="19" t="s">
        <v>11</v>
      </c>
      <c r="L10" s="20"/>
      <c r="M10" s="21">
        <v>7</v>
      </c>
      <c r="N10" s="21">
        <v>3</v>
      </c>
      <c r="O10" s="21">
        <v>3</v>
      </c>
      <c r="P10" s="21">
        <v>3</v>
      </c>
      <c r="Q10" s="21">
        <v>4</v>
      </c>
      <c r="R10" s="21">
        <v>4</v>
      </c>
      <c r="S10" s="22">
        <v>5</v>
      </c>
    </row>
    <row r="11" spans="2:20" x14ac:dyDescent="0.25">
      <c r="J11"/>
      <c r="K11" s="27" t="s">
        <v>12</v>
      </c>
      <c r="L11" s="28"/>
      <c r="M11" s="29">
        <f>M9/M8</f>
        <v>0.61111111111111116</v>
      </c>
      <c r="N11" s="29">
        <f t="shared" ref="N11:S11" si="0">N9/N8</f>
        <v>0.7857142857142857</v>
      </c>
      <c r="O11" s="29">
        <f t="shared" si="0"/>
        <v>0.7857142857142857</v>
      </c>
      <c r="P11" s="29">
        <f t="shared" si="0"/>
        <v>0.7857142857142857</v>
      </c>
      <c r="Q11" s="29">
        <f t="shared" si="0"/>
        <v>0.7142857142857143</v>
      </c>
      <c r="R11" s="29">
        <f t="shared" si="0"/>
        <v>0.7142857142857143</v>
      </c>
      <c r="S11" s="30">
        <f t="shared" si="0"/>
        <v>0.6428571428571429</v>
      </c>
    </row>
    <row r="12" spans="2:20" x14ac:dyDescent="0.25">
      <c r="J12"/>
      <c r="K12" s="14"/>
      <c r="L12" s="15"/>
      <c r="M12" s="15"/>
      <c r="N12" s="15"/>
      <c r="O12" s="15"/>
      <c r="P12" s="15"/>
      <c r="Q12" s="15"/>
      <c r="R12" s="15"/>
      <c r="S12" s="15"/>
      <c r="T12" s="15"/>
    </row>
    <row r="13" spans="2:20" x14ac:dyDescent="0.25">
      <c r="J13"/>
      <c r="K13" s="14"/>
      <c r="L13" s="15"/>
      <c r="M13" s="15"/>
      <c r="N13" s="15"/>
      <c r="O13" s="15"/>
      <c r="P13" s="15"/>
      <c r="Q13" s="15"/>
      <c r="R13" s="15"/>
      <c r="S13" s="15"/>
      <c r="T13" s="15"/>
    </row>
    <row r="14" spans="2:20" x14ac:dyDescent="0.25">
      <c r="J14"/>
      <c r="K14" s="14"/>
      <c r="L14" s="15"/>
      <c r="M14" s="15"/>
      <c r="N14" s="15"/>
      <c r="O14" s="15"/>
      <c r="P14" s="15"/>
      <c r="Q14" s="15"/>
      <c r="R14" s="15"/>
      <c r="S14" s="15"/>
      <c r="T14" s="15"/>
    </row>
    <row r="15" spans="2:20" x14ac:dyDescent="0.25">
      <c r="J15"/>
      <c r="K15" s="14"/>
      <c r="L15" s="15"/>
      <c r="M15" s="15"/>
      <c r="N15" s="15"/>
      <c r="O15" s="15"/>
      <c r="P15" s="15"/>
      <c r="Q15" s="15"/>
      <c r="R15" s="15"/>
      <c r="S15" s="15"/>
      <c r="T15" s="15"/>
    </row>
    <row r="16" spans="2:20" x14ac:dyDescent="0.25">
      <c r="J16"/>
      <c r="K16" s="14"/>
      <c r="L16" s="15"/>
      <c r="M16" s="15"/>
      <c r="N16" s="15"/>
      <c r="O16" s="15"/>
      <c r="P16" s="15"/>
      <c r="Q16" s="15"/>
      <c r="R16" s="15"/>
      <c r="S16" s="15"/>
      <c r="T16" s="15"/>
    </row>
    <row r="17" spans="2:22" x14ac:dyDescent="0.25">
      <c r="J17"/>
      <c r="K17" s="14"/>
      <c r="L17" s="15"/>
      <c r="M17" s="15"/>
      <c r="N17" s="15"/>
      <c r="O17" s="15"/>
      <c r="P17" s="15"/>
      <c r="Q17" s="15"/>
      <c r="R17" s="15"/>
      <c r="S17" s="15"/>
      <c r="T17" s="15"/>
    </row>
    <row r="18" spans="2:22" x14ac:dyDescent="0.25">
      <c r="J18"/>
      <c r="L18"/>
    </row>
    <row r="19" spans="2:22" x14ac:dyDescent="0.25">
      <c r="J19"/>
      <c r="L19"/>
    </row>
    <row r="20" spans="2:22" ht="18.75" customHeight="1" x14ac:dyDescent="0.25">
      <c r="B20" s="11" t="s">
        <v>13</v>
      </c>
      <c r="C20" s="31"/>
      <c r="D20" s="31"/>
      <c r="E20" s="31"/>
      <c r="F20" s="31"/>
      <c r="G20" s="31"/>
      <c r="H20" s="31"/>
      <c r="I20" s="31"/>
      <c r="J20" s="32"/>
      <c r="K20" s="32"/>
      <c r="L20" s="32"/>
      <c r="M20" s="31"/>
      <c r="N20" s="31"/>
      <c r="O20" s="31"/>
    </row>
    <row r="21" spans="2:22" ht="20.25" customHeight="1" x14ac:dyDescent="0.25">
      <c r="B21" s="33" t="s">
        <v>14</v>
      </c>
      <c r="C21" s="33"/>
      <c r="D21" s="33" t="s">
        <v>15</v>
      </c>
      <c r="E21" s="33"/>
      <c r="F21" s="33" t="s">
        <v>16</v>
      </c>
      <c r="G21" s="33" t="s">
        <v>17</v>
      </c>
      <c r="H21" s="33"/>
      <c r="I21" s="33"/>
      <c r="J21" s="34" t="s">
        <v>18</v>
      </c>
      <c r="K21" s="34"/>
      <c r="L21" s="34" t="s">
        <v>19</v>
      </c>
      <c r="M21" s="34" t="s">
        <v>20</v>
      </c>
      <c r="N21" s="31"/>
    </row>
    <row r="22" spans="2:22" ht="27" customHeight="1" x14ac:dyDescent="0.25">
      <c r="B22" s="33"/>
      <c r="C22" s="33"/>
      <c r="D22" s="35" t="s">
        <v>21</v>
      </c>
      <c r="E22" s="35" t="s">
        <v>22</v>
      </c>
      <c r="F22" s="33"/>
      <c r="G22" s="35" t="s">
        <v>23</v>
      </c>
      <c r="H22" s="36" t="s">
        <v>24</v>
      </c>
      <c r="I22" s="35" t="s">
        <v>25</v>
      </c>
      <c r="J22" s="36" t="s">
        <v>23</v>
      </c>
      <c r="K22" s="36" t="s">
        <v>24</v>
      </c>
      <c r="L22" s="34"/>
      <c r="M22" s="34"/>
      <c r="N22" s="31"/>
    </row>
    <row r="23" spans="2:22" x14ac:dyDescent="0.25">
      <c r="B23" s="37">
        <v>1</v>
      </c>
      <c r="C23" s="38" t="s">
        <v>26</v>
      </c>
      <c r="D23" s="39">
        <v>45560</v>
      </c>
      <c r="E23" s="40">
        <f t="shared" ref="E23:E36" si="1">(YEAR($R$4)-YEAR(D23))*12+(MONTH($R$4)-MONTH(D23))</f>
        <v>18</v>
      </c>
      <c r="F23" s="40">
        <f>218948+12517</f>
        <v>231465</v>
      </c>
      <c r="G23" s="41">
        <v>1405</v>
      </c>
      <c r="H23" s="41">
        <v>279</v>
      </c>
      <c r="I23" s="41">
        <f t="shared" ref="I23:I36" si="2">G23+H23</f>
        <v>1684</v>
      </c>
      <c r="J23" s="40">
        <f t="shared" ref="J23:J36" si="3">IFERROR(G23/(F23*E23)*1000000,0)</f>
        <v>337.22401034953691</v>
      </c>
      <c r="K23" s="40">
        <f t="shared" ref="K23:K36" si="4">IFERROR(H23/(F23*E23)*1000000,0)</f>
        <v>66.964767891473869</v>
      </c>
      <c r="L23" s="40">
        <v>383</v>
      </c>
      <c r="M23" s="42" t="str">
        <f t="shared" ref="M23:M36" si="5">IF(J23&lt;L23,"OK","NG")</f>
        <v>OK</v>
      </c>
      <c r="N23" s="43">
        <f t="shared" ref="N23:N36" si="6">E23*F23</f>
        <v>4166370</v>
      </c>
      <c r="S23" t="s">
        <v>27</v>
      </c>
      <c r="V23" s="44"/>
    </row>
    <row r="24" spans="2:22" x14ac:dyDescent="0.25">
      <c r="B24" s="45">
        <v>2</v>
      </c>
      <c r="C24" s="46" t="s">
        <v>28</v>
      </c>
      <c r="D24" s="47">
        <v>45583</v>
      </c>
      <c r="E24" s="48">
        <f t="shared" si="1"/>
        <v>17</v>
      </c>
      <c r="F24" s="48">
        <f>174723+4661</f>
        <v>179384</v>
      </c>
      <c r="G24" s="49">
        <v>1399</v>
      </c>
      <c r="H24" s="49">
        <v>256</v>
      </c>
      <c r="I24" s="49">
        <f t="shared" si="2"/>
        <v>1655</v>
      </c>
      <c r="J24" s="48">
        <f t="shared" si="3"/>
        <v>458.75951950596942</v>
      </c>
      <c r="K24" s="48">
        <f t="shared" si="4"/>
        <v>83.947417436403271</v>
      </c>
      <c r="L24" s="48">
        <v>383</v>
      </c>
      <c r="M24" s="50" t="str">
        <f t="shared" si="5"/>
        <v>NG</v>
      </c>
      <c r="N24" s="43">
        <f t="shared" si="6"/>
        <v>3049528</v>
      </c>
      <c r="S24" t="s">
        <v>27</v>
      </c>
      <c r="V24" s="44"/>
    </row>
    <row r="25" spans="2:22" x14ac:dyDescent="0.25">
      <c r="B25" s="37">
        <v>3</v>
      </c>
      <c r="C25" s="38" t="s">
        <v>29</v>
      </c>
      <c r="D25" s="39">
        <v>45812</v>
      </c>
      <c r="E25" s="40">
        <f t="shared" si="1"/>
        <v>9</v>
      </c>
      <c r="F25" s="40">
        <f>25848+3738</f>
        <v>29586</v>
      </c>
      <c r="G25" s="41">
        <v>129</v>
      </c>
      <c r="H25" s="41">
        <v>63</v>
      </c>
      <c r="I25" s="41">
        <f t="shared" si="2"/>
        <v>192</v>
      </c>
      <c r="J25" s="40">
        <f t="shared" si="3"/>
        <v>484.46337231573489</v>
      </c>
      <c r="K25" s="40">
        <f t="shared" si="4"/>
        <v>236.59839113094029</v>
      </c>
      <c r="L25" s="40">
        <v>383</v>
      </c>
      <c r="M25" s="42" t="str">
        <f t="shared" si="5"/>
        <v>NG</v>
      </c>
      <c r="N25" s="43">
        <f t="shared" si="6"/>
        <v>266274</v>
      </c>
      <c r="S25" t="s">
        <v>27</v>
      </c>
      <c r="V25" s="44"/>
    </row>
    <row r="26" spans="2:22" x14ac:dyDescent="0.25">
      <c r="B26" s="45">
        <v>4</v>
      </c>
      <c r="C26" s="46" t="s">
        <v>30</v>
      </c>
      <c r="D26" s="47">
        <v>45812</v>
      </c>
      <c r="E26" s="48">
        <f t="shared" si="1"/>
        <v>9</v>
      </c>
      <c r="F26" s="48">
        <f>14312+2421</f>
        <v>16733</v>
      </c>
      <c r="G26" s="49">
        <v>66</v>
      </c>
      <c r="H26" s="49">
        <v>41</v>
      </c>
      <c r="I26" s="49">
        <f t="shared" si="2"/>
        <v>107</v>
      </c>
      <c r="J26" s="48">
        <f t="shared" si="3"/>
        <v>438.25574214625789</v>
      </c>
      <c r="K26" s="48">
        <f t="shared" si="4"/>
        <v>272.24977921206931</v>
      </c>
      <c r="L26" s="48">
        <v>383</v>
      </c>
      <c r="M26" s="50" t="str">
        <f t="shared" si="5"/>
        <v>NG</v>
      </c>
      <c r="N26" s="43">
        <f t="shared" si="6"/>
        <v>150597</v>
      </c>
      <c r="S26" t="s">
        <v>27</v>
      </c>
      <c r="V26" s="44"/>
    </row>
    <row r="27" spans="2:22" x14ac:dyDescent="0.25">
      <c r="B27" s="37">
        <v>5</v>
      </c>
      <c r="C27" s="38" t="s">
        <v>31</v>
      </c>
      <c r="D27" s="39">
        <v>45812</v>
      </c>
      <c r="E27" s="40">
        <f t="shared" si="1"/>
        <v>9</v>
      </c>
      <c r="F27" s="40">
        <f>13382+2394</f>
        <v>15776</v>
      </c>
      <c r="G27" s="41">
        <v>44</v>
      </c>
      <c r="H27" s="41">
        <v>43</v>
      </c>
      <c r="I27" s="41">
        <f t="shared" si="2"/>
        <v>87</v>
      </c>
      <c r="J27" s="40">
        <f t="shared" si="3"/>
        <v>309.89407257155733</v>
      </c>
      <c r="K27" s="40">
        <f t="shared" si="4"/>
        <v>302.85102546765836</v>
      </c>
      <c r="L27" s="40">
        <v>383</v>
      </c>
      <c r="M27" s="42" t="str">
        <f t="shared" si="5"/>
        <v>OK</v>
      </c>
      <c r="N27" s="43">
        <f t="shared" si="6"/>
        <v>141984</v>
      </c>
      <c r="S27" t="s">
        <v>27</v>
      </c>
      <c r="V27" s="44"/>
    </row>
    <row r="28" spans="2:22" x14ac:dyDescent="0.25">
      <c r="B28" s="45">
        <v>6</v>
      </c>
      <c r="C28" s="46" t="s">
        <v>32</v>
      </c>
      <c r="D28" s="47">
        <v>45812</v>
      </c>
      <c r="E28" s="48">
        <f t="shared" si="1"/>
        <v>9</v>
      </c>
      <c r="F28" s="48">
        <f>1822+208</f>
        <v>2030</v>
      </c>
      <c r="G28" s="49">
        <v>6</v>
      </c>
      <c r="H28" s="49">
        <v>5</v>
      </c>
      <c r="I28" s="49">
        <f t="shared" si="2"/>
        <v>11</v>
      </c>
      <c r="J28" s="48">
        <f t="shared" si="3"/>
        <v>328.40722495894909</v>
      </c>
      <c r="K28" s="48">
        <f t="shared" si="4"/>
        <v>273.67268746579094</v>
      </c>
      <c r="L28" s="48">
        <v>383</v>
      </c>
      <c r="M28" s="50" t="str">
        <f t="shared" si="5"/>
        <v>OK</v>
      </c>
      <c r="N28" s="43">
        <f t="shared" si="6"/>
        <v>18270</v>
      </c>
      <c r="S28" t="s">
        <v>27</v>
      </c>
      <c r="V28" s="44"/>
    </row>
    <row r="29" spans="2:22" x14ac:dyDescent="0.25">
      <c r="B29" s="37">
        <v>7</v>
      </c>
      <c r="C29" s="38" t="s">
        <v>33</v>
      </c>
      <c r="D29" s="39">
        <v>45812</v>
      </c>
      <c r="E29" s="40">
        <f t="shared" si="1"/>
        <v>9</v>
      </c>
      <c r="F29" s="40">
        <f>1996+211</f>
        <v>2207</v>
      </c>
      <c r="G29" s="41">
        <v>4</v>
      </c>
      <c r="H29" s="41">
        <v>6</v>
      </c>
      <c r="I29" s="41">
        <f t="shared" si="2"/>
        <v>10</v>
      </c>
      <c r="J29" s="40">
        <f t="shared" si="3"/>
        <v>201.37944922720635</v>
      </c>
      <c r="K29" s="40">
        <f t="shared" si="4"/>
        <v>302.06917384080958</v>
      </c>
      <c r="L29" s="40">
        <v>383</v>
      </c>
      <c r="M29" s="42" t="str">
        <f t="shared" si="5"/>
        <v>OK</v>
      </c>
      <c r="N29" s="43">
        <f t="shared" si="6"/>
        <v>19863</v>
      </c>
      <c r="S29" t="s">
        <v>27</v>
      </c>
      <c r="V29" s="44"/>
    </row>
    <row r="30" spans="2:22" x14ac:dyDescent="0.25">
      <c r="B30" s="45">
        <v>8</v>
      </c>
      <c r="C30" s="46" t="s">
        <v>34</v>
      </c>
      <c r="D30" s="47">
        <v>45812</v>
      </c>
      <c r="E30" s="48">
        <f t="shared" si="1"/>
        <v>9</v>
      </c>
      <c r="F30" s="48">
        <f>1604+206</f>
        <v>1810</v>
      </c>
      <c r="G30" s="49">
        <v>12</v>
      </c>
      <c r="H30" s="49">
        <v>5</v>
      </c>
      <c r="I30" s="49">
        <f t="shared" si="2"/>
        <v>17</v>
      </c>
      <c r="J30" s="48">
        <f t="shared" si="3"/>
        <v>736.64825046040517</v>
      </c>
      <c r="K30" s="48">
        <f t="shared" si="4"/>
        <v>306.93677102516881</v>
      </c>
      <c r="L30" s="48">
        <v>383</v>
      </c>
      <c r="M30" s="50" t="str">
        <f t="shared" si="5"/>
        <v>NG</v>
      </c>
      <c r="N30" s="43">
        <f t="shared" si="6"/>
        <v>16290</v>
      </c>
      <c r="S30" t="s">
        <v>27</v>
      </c>
      <c r="V30" s="44"/>
    </row>
    <row r="31" spans="2:22" x14ac:dyDescent="0.25">
      <c r="B31" s="37">
        <v>9</v>
      </c>
      <c r="C31" s="38" t="s">
        <v>35</v>
      </c>
      <c r="D31" s="39">
        <v>45812</v>
      </c>
      <c r="E31" s="40">
        <f t="shared" si="1"/>
        <v>9</v>
      </c>
      <c r="F31" s="40">
        <f>634+59</f>
        <v>693</v>
      </c>
      <c r="G31" s="41">
        <v>3</v>
      </c>
      <c r="H31" s="41">
        <v>3</v>
      </c>
      <c r="I31" s="41">
        <f t="shared" si="2"/>
        <v>6</v>
      </c>
      <c r="J31" s="40">
        <f t="shared" si="3"/>
        <v>481.00048100048105</v>
      </c>
      <c r="K31" s="40">
        <f t="shared" si="4"/>
        <v>481.00048100048105</v>
      </c>
      <c r="L31" s="40">
        <v>383</v>
      </c>
      <c r="M31" s="42" t="str">
        <f t="shared" si="5"/>
        <v>NG</v>
      </c>
      <c r="N31" s="43">
        <f t="shared" si="6"/>
        <v>6237</v>
      </c>
      <c r="S31" t="s">
        <v>27</v>
      </c>
      <c r="V31" s="44"/>
    </row>
    <row r="32" spans="2:22" x14ac:dyDescent="0.25">
      <c r="B32" s="45">
        <v>10</v>
      </c>
      <c r="C32" s="46" t="s">
        <v>36</v>
      </c>
      <c r="D32" s="47">
        <v>45824</v>
      </c>
      <c r="E32" s="48">
        <f t="shared" si="1"/>
        <v>9</v>
      </c>
      <c r="F32" s="48">
        <f>7766+1169</f>
        <v>8935</v>
      </c>
      <c r="G32" s="49">
        <v>29</v>
      </c>
      <c r="H32" s="49">
        <v>23</v>
      </c>
      <c r="I32" s="49">
        <f t="shared" si="2"/>
        <v>52</v>
      </c>
      <c r="J32" s="48">
        <f t="shared" si="3"/>
        <v>360.62923583908474</v>
      </c>
      <c r="K32" s="48">
        <f t="shared" si="4"/>
        <v>286.01629049306723</v>
      </c>
      <c r="L32" s="48">
        <v>383</v>
      </c>
      <c r="M32" s="50" t="str">
        <f t="shared" si="5"/>
        <v>OK</v>
      </c>
      <c r="N32" s="43">
        <f t="shared" si="6"/>
        <v>80415</v>
      </c>
      <c r="S32" t="s">
        <v>27</v>
      </c>
      <c r="V32" s="44"/>
    </row>
    <row r="33" spans="2:22" x14ac:dyDescent="0.25">
      <c r="B33" s="37">
        <v>11</v>
      </c>
      <c r="C33" s="38" t="s">
        <v>37</v>
      </c>
      <c r="D33" s="39">
        <v>45824</v>
      </c>
      <c r="E33" s="40">
        <f t="shared" si="1"/>
        <v>9</v>
      </c>
      <c r="F33" s="40">
        <f>3400+246</f>
        <v>3646</v>
      </c>
      <c r="G33" s="41">
        <v>8</v>
      </c>
      <c r="H33" s="41">
        <v>19</v>
      </c>
      <c r="I33" s="41">
        <f t="shared" si="2"/>
        <v>27</v>
      </c>
      <c r="J33" s="40">
        <f t="shared" si="3"/>
        <v>243.79837874078137</v>
      </c>
      <c r="K33" s="40">
        <f t="shared" si="4"/>
        <v>579.02114950935572</v>
      </c>
      <c r="L33" s="40">
        <v>383</v>
      </c>
      <c r="M33" s="42" t="str">
        <f t="shared" si="5"/>
        <v>OK</v>
      </c>
      <c r="N33" s="43">
        <f t="shared" si="6"/>
        <v>32814</v>
      </c>
      <c r="S33" t="s">
        <v>27</v>
      </c>
      <c r="V33" s="44"/>
    </row>
    <row r="34" spans="2:22" x14ac:dyDescent="0.25">
      <c r="B34" s="45">
        <v>12</v>
      </c>
      <c r="C34" s="46" t="s">
        <v>38</v>
      </c>
      <c r="D34" s="47">
        <v>45825</v>
      </c>
      <c r="E34" s="48">
        <f t="shared" si="1"/>
        <v>9</v>
      </c>
      <c r="F34" s="48">
        <f>91739+11480</f>
        <v>103219</v>
      </c>
      <c r="G34" s="49">
        <v>99</v>
      </c>
      <c r="H34" s="49">
        <v>42</v>
      </c>
      <c r="I34" s="49">
        <f t="shared" si="2"/>
        <v>141</v>
      </c>
      <c r="J34" s="48">
        <f t="shared" si="3"/>
        <v>106.56952692818182</v>
      </c>
      <c r="K34" s="48">
        <f t="shared" si="4"/>
        <v>45.211314454380172</v>
      </c>
      <c r="L34" s="48">
        <v>383</v>
      </c>
      <c r="M34" s="50" t="str">
        <f t="shared" si="5"/>
        <v>OK</v>
      </c>
      <c r="N34" s="43">
        <f t="shared" si="6"/>
        <v>928971</v>
      </c>
      <c r="S34" t="s">
        <v>27</v>
      </c>
      <c r="V34" s="44"/>
    </row>
    <row r="35" spans="2:22" x14ac:dyDescent="0.25">
      <c r="B35" s="37">
        <v>13</v>
      </c>
      <c r="C35" s="38" t="s">
        <v>39</v>
      </c>
      <c r="D35" s="39">
        <v>45825</v>
      </c>
      <c r="E35" s="40">
        <f t="shared" si="1"/>
        <v>9</v>
      </c>
      <c r="F35" s="40">
        <f>147503+18474</f>
        <v>165977</v>
      </c>
      <c r="G35" s="41">
        <v>277</v>
      </c>
      <c r="H35" s="41">
        <v>126</v>
      </c>
      <c r="I35" s="41">
        <f t="shared" si="2"/>
        <v>403</v>
      </c>
      <c r="J35" s="40">
        <f t="shared" si="3"/>
        <v>185.43399252774648</v>
      </c>
      <c r="K35" s="40">
        <f t="shared" si="4"/>
        <v>84.349036312260125</v>
      </c>
      <c r="L35" s="40">
        <v>383</v>
      </c>
      <c r="M35" s="42" t="str">
        <f t="shared" si="5"/>
        <v>OK</v>
      </c>
      <c r="N35" s="43">
        <f t="shared" si="6"/>
        <v>1493793</v>
      </c>
      <c r="S35" t="s">
        <v>27</v>
      </c>
      <c r="V35" s="44"/>
    </row>
    <row r="36" spans="2:22" x14ac:dyDescent="0.25">
      <c r="B36" s="45">
        <v>14</v>
      </c>
      <c r="C36" s="46" t="s">
        <v>40</v>
      </c>
      <c r="D36" s="47">
        <v>45832</v>
      </c>
      <c r="E36" s="48">
        <f t="shared" si="1"/>
        <v>9</v>
      </c>
      <c r="F36" s="48">
        <f>6487+937</f>
        <v>7424</v>
      </c>
      <c r="G36" s="49">
        <v>12</v>
      </c>
      <c r="H36" s="49">
        <v>10</v>
      </c>
      <c r="I36" s="49">
        <f t="shared" si="2"/>
        <v>22</v>
      </c>
      <c r="J36" s="48">
        <f t="shared" si="3"/>
        <v>179.59770114942529</v>
      </c>
      <c r="K36" s="48">
        <f t="shared" si="4"/>
        <v>149.66475095785441</v>
      </c>
      <c r="L36" s="48">
        <v>383</v>
      </c>
      <c r="M36" s="50" t="str">
        <f t="shared" si="5"/>
        <v>OK</v>
      </c>
      <c r="N36" s="43">
        <f t="shared" si="6"/>
        <v>66816</v>
      </c>
      <c r="S36" t="s">
        <v>27</v>
      </c>
      <c r="V36" s="44"/>
    </row>
    <row r="37" spans="2:22" x14ac:dyDescent="0.25">
      <c r="B37" s="51"/>
      <c r="C37" s="51"/>
      <c r="D37" s="51"/>
      <c r="E37" s="51"/>
      <c r="F37" s="52">
        <f>SUM(F23:F36)</f>
        <v>768885</v>
      </c>
      <c r="G37" s="53">
        <f>SUM(G23:G36)</f>
        <v>3493</v>
      </c>
      <c r="H37" s="53">
        <f>SUM(H23:H36)</f>
        <v>921</v>
      </c>
      <c r="I37" s="53">
        <f>SUM(I23:I36)</f>
        <v>4414</v>
      </c>
      <c r="J37" s="54">
        <f>G37/N37*1000000</f>
        <v>334.63553467247584</v>
      </c>
      <c r="K37" s="55">
        <f>(H37)/N37*1000000</f>
        <v>88.233417530303541</v>
      </c>
      <c r="L37" s="56"/>
      <c r="M37" s="51"/>
      <c r="N37" s="43">
        <f>SUM(N23:N36)</f>
        <v>10438222</v>
      </c>
    </row>
    <row r="38" spans="2:22" x14ac:dyDescent="0.25">
      <c r="B38" s="31"/>
      <c r="C38" s="31"/>
      <c r="D38" s="31"/>
      <c r="E38" s="31"/>
      <c r="F38" s="31"/>
      <c r="G38" s="57"/>
      <c r="H38" s="31"/>
      <c r="I38" s="31"/>
      <c r="J38" s="32"/>
      <c r="K38" s="32"/>
      <c r="L38" s="32"/>
      <c r="M38" s="31"/>
      <c r="N38" s="31"/>
      <c r="O38" s="43"/>
    </row>
    <row r="39" spans="2:22" s="59" customFormat="1" ht="20.25" customHeight="1" x14ac:dyDescent="0.25">
      <c r="B39" s="58" t="s">
        <v>41</v>
      </c>
      <c r="J39" s="60"/>
      <c r="K39" s="60"/>
      <c r="L39" s="60"/>
      <c r="M39" s="11" t="s">
        <v>42</v>
      </c>
    </row>
    <row r="40" spans="2:22" ht="24.75" x14ac:dyDescent="0.25">
      <c r="B40" s="61" t="s">
        <v>14</v>
      </c>
      <c r="C40" s="61"/>
      <c r="D40" s="61" t="s">
        <v>43</v>
      </c>
      <c r="E40" s="61"/>
      <c r="F40" s="62" t="s">
        <v>44</v>
      </c>
      <c r="G40" s="62" t="s">
        <v>45</v>
      </c>
      <c r="H40" s="62" t="s">
        <v>46</v>
      </c>
      <c r="I40" s="62" t="s">
        <v>47</v>
      </c>
      <c r="J40" s="62" t="s">
        <v>25</v>
      </c>
      <c r="K40" s="63" t="s">
        <v>48</v>
      </c>
      <c r="L40" s="64" t="s">
        <v>49</v>
      </c>
    </row>
    <row r="41" spans="2:22" x14ac:dyDescent="0.25">
      <c r="B41" s="65" t="s">
        <v>26</v>
      </c>
      <c r="C41" s="65"/>
      <c r="D41" s="66" t="s">
        <v>50</v>
      </c>
      <c r="E41" s="66"/>
      <c r="F41" s="67">
        <v>466</v>
      </c>
      <c r="G41" s="67">
        <v>94</v>
      </c>
      <c r="H41" s="67">
        <v>71</v>
      </c>
      <c r="I41" s="67">
        <v>57</v>
      </c>
      <c r="J41" s="67">
        <f t="shared" ref="J41:J82" si="7">SUM(F41:I41)</f>
        <v>688</v>
      </c>
      <c r="K41" s="68">
        <f>J41/$G$23</f>
        <v>0.4896797153024911</v>
      </c>
      <c r="L41" s="69">
        <f>J41/$F$23*1000000</f>
        <v>2972.3716328602595</v>
      </c>
      <c r="N41" s="44"/>
    </row>
    <row r="42" spans="2:22" x14ac:dyDescent="0.25">
      <c r="B42" s="65"/>
      <c r="C42" s="65"/>
      <c r="D42" s="70" t="s">
        <v>51</v>
      </c>
      <c r="E42" s="70"/>
      <c r="F42" s="71">
        <v>208</v>
      </c>
      <c r="G42" s="71">
        <v>27</v>
      </c>
      <c r="H42" s="71">
        <v>28</v>
      </c>
      <c r="I42" s="71">
        <v>48</v>
      </c>
      <c r="J42" s="71">
        <f t="shared" si="7"/>
        <v>311</v>
      </c>
      <c r="K42" s="72">
        <f>J42/$G$23</f>
        <v>0.22135231316725978</v>
      </c>
      <c r="L42" s="73">
        <f>J42/$F$23*1000000</f>
        <v>1343.615665435379</v>
      </c>
      <c r="N42" s="44"/>
    </row>
    <row r="43" spans="2:22" x14ac:dyDescent="0.25">
      <c r="B43" s="65"/>
      <c r="C43" s="65"/>
      <c r="D43" s="66" t="s">
        <v>52</v>
      </c>
      <c r="E43" s="66"/>
      <c r="F43" s="67">
        <v>164</v>
      </c>
      <c r="G43" s="67">
        <v>27</v>
      </c>
      <c r="H43" s="67">
        <v>8</v>
      </c>
      <c r="I43" s="67">
        <v>15</v>
      </c>
      <c r="J43" s="67">
        <f t="shared" si="7"/>
        <v>214</v>
      </c>
      <c r="K43" s="68">
        <f>J43/$G$23</f>
        <v>0.15231316725978647</v>
      </c>
      <c r="L43" s="69">
        <f>J43/$F$23*1000000</f>
        <v>924.5458276629297</v>
      </c>
      <c r="N43" s="44"/>
    </row>
    <row r="44" spans="2:22" x14ac:dyDescent="0.25">
      <c r="B44" s="65" t="s">
        <v>28</v>
      </c>
      <c r="C44" s="65"/>
      <c r="D44" s="66" t="s">
        <v>50</v>
      </c>
      <c r="E44" s="66"/>
      <c r="F44" s="67">
        <v>545</v>
      </c>
      <c r="G44" s="67">
        <v>89</v>
      </c>
      <c r="H44" s="67">
        <v>86</v>
      </c>
      <c r="I44" s="67">
        <v>70</v>
      </c>
      <c r="J44" s="67">
        <f t="shared" si="7"/>
        <v>790</v>
      </c>
      <c r="K44" s="68">
        <f>J44/$G$24</f>
        <v>0.56468906361686921</v>
      </c>
      <c r="L44" s="69">
        <f>J44/$F$24*1000000</f>
        <v>4403.9602194175623</v>
      </c>
      <c r="N44" s="44"/>
    </row>
    <row r="45" spans="2:22" x14ac:dyDescent="0.25">
      <c r="B45" s="65"/>
      <c r="C45" s="65"/>
      <c r="D45" s="70" t="s">
        <v>51</v>
      </c>
      <c r="E45" s="70"/>
      <c r="F45" s="71">
        <v>173</v>
      </c>
      <c r="G45" s="71">
        <v>20</v>
      </c>
      <c r="H45" s="71">
        <v>26</v>
      </c>
      <c r="I45" s="71">
        <v>28</v>
      </c>
      <c r="J45" s="71">
        <f t="shared" si="7"/>
        <v>247</v>
      </c>
      <c r="K45" s="72">
        <f>J45/$G$24</f>
        <v>0.17655468191565404</v>
      </c>
      <c r="L45" s="73">
        <f>J45/$F$24*1000000</f>
        <v>1376.9343977166302</v>
      </c>
      <c r="N45" s="44"/>
    </row>
    <row r="46" spans="2:22" x14ac:dyDescent="0.25">
      <c r="B46" s="65"/>
      <c r="C46" s="65"/>
      <c r="D46" s="66" t="s">
        <v>52</v>
      </c>
      <c r="E46" s="66"/>
      <c r="F46" s="67">
        <v>171</v>
      </c>
      <c r="G46" s="67">
        <v>20</v>
      </c>
      <c r="H46" s="67">
        <v>7</v>
      </c>
      <c r="I46" s="67">
        <v>19</v>
      </c>
      <c r="J46" s="67">
        <f t="shared" si="7"/>
        <v>217</v>
      </c>
      <c r="K46" s="68">
        <f>J46/$G$24</f>
        <v>0.15511079342387418</v>
      </c>
      <c r="L46" s="69">
        <f>J46/$F$24*1000000</f>
        <v>1209.6954020425455</v>
      </c>
      <c r="N46" s="44"/>
    </row>
    <row r="47" spans="2:22" x14ac:dyDescent="0.25">
      <c r="B47" s="65" t="s">
        <v>29</v>
      </c>
      <c r="C47" s="65"/>
      <c r="D47" s="66" t="s">
        <v>52</v>
      </c>
      <c r="E47" s="66"/>
      <c r="F47" s="67">
        <v>16</v>
      </c>
      <c r="G47" s="67">
        <v>3</v>
      </c>
      <c r="H47" s="67">
        <v>8</v>
      </c>
      <c r="I47" s="67">
        <v>8</v>
      </c>
      <c r="J47" s="67">
        <f t="shared" si="7"/>
        <v>35</v>
      </c>
      <c r="K47" s="68">
        <f>J47/$G$25</f>
        <v>0.27131782945736432</v>
      </c>
      <c r="L47" s="69">
        <f>J47/$F$25*1000000</f>
        <v>1182.9919556547015</v>
      </c>
      <c r="N47" s="44"/>
    </row>
    <row r="48" spans="2:22" x14ac:dyDescent="0.25">
      <c r="B48" s="65"/>
      <c r="C48" s="65"/>
      <c r="D48" s="70" t="s">
        <v>51</v>
      </c>
      <c r="E48" s="70"/>
      <c r="F48" s="71">
        <v>7</v>
      </c>
      <c r="G48" s="71">
        <v>8</v>
      </c>
      <c r="H48" s="71">
        <v>9</v>
      </c>
      <c r="I48" s="71">
        <v>4</v>
      </c>
      <c r="J48" s="71">
        <f t="shared" si="7"/>
        <v>28</v>
      </c>
      <c r="K48" s="72">
        <f>J48/$G$25</f>
        <v>0.21705426356589147</v>
      </c>
      <c r="L48" s="73">
        <f>J48/$F$25*1000000</f>
        <v>946.39356452376114</v>
      </c>
      <c r="N48" s="44"/>
    </row>
    <row r="49" spans="2:14" x14ac:dyDescent="0.25">
      <c r="B49" s="65"/>
      <c r="C49" s="65"/>
      <c r="D49" s="66" t="s">
        <v>50</v>
      </c>
      <c r="E49" s="66"/>
      <c r="F49" s="67">
        <v>8</v>
      </c>
      <c r="G49" s="67">
        <v>9</v>
      </c>
      <c r="H49" s="67">
        <v>3</v>
      </c>
      <c r="I49" s="67">
        <v>8</v>
      </c>
      <c r="J49" s="67">
        <f t="shared" si="7"/>
        <v>28</v>
      </c>
      <c r="K49" s="68">
        <f>J49/$G$25</f>
        <v>0.21705426356589147</v>
      </c>
      <c r="L49" s="69">
        <f>J49/$F$25*1000000</f>
        <v>946.39356452376114</v>
      </c>
      <c r="N49" s="44"/>
    </row>
    <row r="50" spans="2:14" x14ac:dyDescent="0.25">
      <c r="B50" s="65" t="s">
        <v>30</v>
      </c>
      <c r="C50" s="65"/>
      <c r="D50" s="70" t="s">
        <v>51</v>
      </c>
      <c r="E50" s="70"/>
      <c r="F50" s="71">
        <v>7</v>
      </c>
      <c r="G50" s="71">
        <v>1</v>
      </c>
      <c r="H50" s="71">
        <v>10</v>
      </c>
      <c r="I50" s="71">
        <v>1</v>
      </c>
      <c r="J50" s="71">
        <f t="shared" si="7"/>
        <v>19</v>
      </c>
      <c r="K50" s="72">
        <f>J50/$G$26</f>
        <v>0.2878787878787879</v>
      </c>
      <c r="L50" s="73">
        <f>J50/$F$26*1000000</f>
        <v>1135.48078646985</v>
      </c>
      <c r="N50" s="44"/>
    </row>
    <row r="51" spans="2:14" x14ac:dyDescent="0.25">
      <c r="B51" s="65"/>
      <c r="C51" s="65"/>
      <c r="D51" s="66" t="s">
        <v>53</v>
      </c>
      <c r="E51" s="66"/>
      <c r="F51" s="67">
        <v>10</v>
      </c>
      <c r="G51" s="67">
        <v>2</v>
      </c>
      <c r="H51" s="67">
        <v>2</v>
      </c>
      <c r="I51" s="67">
        <v>1</v>
      </c>
      <c r="J51" s="67">
        <f t="shared" si="7"/>
        <v>15</v>
      </c>
      <c r="K51" s="68">
        <f>J51/$G$26</f>
        <v>0.22727272727272727</v>
      </c>
      <c r="L51" s="69">
        <f>J51/$F$26*1000000</f>
        <v>896.43219984461848</v>
      </c>
      <c r="N51" s="44"/>
    </row>
    <row r="52" spans="2:14" x14ac:dyDescent="0.25">
      <c r="B52" s="65"/>
      <c r="C52" s="65"/>
      <c r="D52" s="70" t="s">
        <v>50</v>
      </c>
      <c r="E52" s="70"/>
      <c r="F52" s="71">
        <v>6</v>
      </c>
      <c r="G52" s="71">
        <v>2</v>
      </c>
      <c r="H52" s="71">
        <v>3</v>
      </c>
      <c r="I52" s="71">
        <v>3</v>
      </c>
      <c r="J52" s="71">
        <f t="shared" si="7"/>
        <v>14</v>
      </c>
      <c r="K52" s="72">
        <f>J52/$G$26</f>
        <v>0.21212121212121213</v>
      </c>
      <c r="L52" s="73">
        <f>J52/$F$26*1000000</f>
        <v>836.67005318831048</v>
      </c>
      <c r="N52" s="44"/>
    </row>
    <row r="53" spans="2:14" x14ac:dyDescent="0.25">
      <c r="B53" s="65" t="s">
        <v>31</v>
      </c>
      <c r="C53" s="65"/>
      <c r="D53" s="66" t="s">
        <v>52</v>
      </c>
      <c r="E53" s="66"/>
      <c r="F53" s="67">
        <v>5</v>
      </c>
      <c r="G53" s="67">
        <v>4</v>
      </c>
      <c r="H53" s="67">
        <v>2</v>
      </c>
      <c r="I53" s="67">
        <v>3</v>
      </c>
      <c r="J53" s="67">
        <f t="shared" si="7"/>
        <v>14</v>
      </c>
      <c r="K53" s="68">
        <f>J53/$G$27</f>
        <v>0.31818181818181818</v>
      </c>
      <c r="L53" s="69">
        <f>J53/$F$27*1000000</f>
        <v>887.42393509127783</v>
      </c>
      <c r="N53" s="44"/>
    </row>
    <row r="54" spans="2:14" x14ac:dyDescent="0.25">
      <c r="B54" s="65"/>
      <c r="C54" s="65"/>
      <c r="D54" s="70" t="s">
        <v>50</v>
      </c>
      <c r="E54" s="70"/>
      <c r="F54" s="71">
        <v>3</v>
      </c>
      <c r="G54" s="71">
        <v>2</v>
      </c>
      <c r="H54" s="71">
        <v>0</v>
      </c>
      <c r="I54" s="71">
        <v>6</v>
      </c>
      <c r="J54" s="71">
        <f t="shared" si="7"/>
        <v>11</v>
      </c>
      <c r="K54" s="72">
        <f>J54/$G$27</f>
        <v>0.25</v>
      </c>
      <c r="L54" s="73">
        <f>J54/$F$27*1000000</f>
        <v>697.26166328600402</v>
      </c>
      <c r="N54" s="44"/>
    </row>
    <row r="55" spans="2:14" x14ac:dyDescent="0.25">
      <c r="B55" s="65"/>
      <c r="C55" s="65"/>
      <c r="D55" s="66" t="s">
        <v>53</v>
      </c>
      <c r="E55" s="66"/>
      <c r="F55" s="67">
        <v>2</v>
      </c>
      <c r="G55" s="67">
        <v>3</v>
      </c>
      <c r="H55" s="67">
        <v>1</v>
      </c>
      <c r="I55" s="67">
        <v>3</v>
      </c>
      <c r="J55" s="67">
        <f t="shared" si="7"/>
        <v>9</v>
      </c>
      <c r="K55" s="68">
        <f>J55/$G$27</f>
        <v>0.20454545454545456</v>
      </c>
      <c r="L55" s="69">
        <f>J55/$F$27*1000000</f>
        <v>570.48681541582152</v>
      </c>
      <c r="N55" s="44"/>
    </row>
    <row r="56" spans="2:14" x14ac:dyDescent="0.25">
      <c r="B56" s="65" t="s">
        <v>32</v>
      </c>
      <c r="C56" s="65"/>
      <c r="D56" s="70" t="s">
        <v>51</v>
      </c>
      <c r="E56" s="70"/>
      <c r="F56" s="71">
        <v>1</v>
      </c>
      <c r="G56" s="71">
        <v>0</v>
      </c>
      <c r="H56" s="71">
        <v>3</v>
      </c>
      <c r="I56" s="71">
        <v>0</v>
      </c>
      <c r="J56" s="71">
        <f t="shared" si="7"/>
        <v>4</v>
      </c>
      <c r="K56" s="72">
        <f>J56/$G$28</f>
        <v>0.66666666666666663</v>
      </c>
      <c r="L56" s="73">
        <f>J56/$F$28*1000000</f>
        <v>1970.4433497536945</v>
      </c>
      <c r="N56" s="44"/>
    </row>
    <row r="57" spans="2:14" x14ac:dyDescent="0.25">
      <c r="B57" s="65"/>
      <c r="C57" s="65"/>
      <c r="D57" s="66" t="s">
        <v>53</v>
      </c>
      <c r="E57" s="66"/>
      <c r="F57" s="67">
        <v>1</v>
      </c>
      <c r="G57" s="67">
        <v>0</v>
      </c>
      <c r="H57" s="67">
        <v>0</v>
      </c>
      <c r="I57" s="67">
        <v>0</v>
      </c>
      <c r="J57" s="67">
        <f t="shared" si="7"/>
        <v>1</v>
      </c>
      <c r="K57" s="68">
        <f>J57/$G$28</f>
        <v>0.16666666666666666</v>
      </c>
      <c r="L57" s="69">
        <f>J57/$F$28*1000000</f>
        <v>492.61083743842363</v>
      </c>
      <c r="N57" s="44"/>
    </row>
    <row r="58" spans="2:14" x14ac:dyDescent="0.25">
      <c r="B58" s="65"/>
      <c r="C58" s="65"/>
      <c r="D58" s="70" t="s">
        <v>52</v>
      </c>
      <c r="E58" s="70"/>
      <c r="F58" s="71">
        <v>0</v>
      </c>
      <c r="G58" s="71">
        <v>0</v>
      </c>
      <c r="H58" s="71">
        <v>0</v>
      </c>
      <c r="I58" s="71">
        <v>1</v>
      </c>
      <c r="J58" s="71">
        <f t="shared" si="7"/>
        <v>1</v>
      </c>
      <c r="K58" s="72">
        <f>J58/$G$28</f>
        <v>0.16666666666666666</v>
      </c>
      <c r="L58" s="73">
        <f>J58/$F$28*1000000</f>
        <v>492.61083743842363</v>
      </c>
      <c r="N58" s="44"/>
    </row>
    <row r="59" spans="2:14" x14ac:dyDescent="0.25">
      <c r="B59" s="65" t="s">
        <v>33</v>
      </c>
      <c r="C59" s="65"/>
      <c r="D59" s="66" t="s">
        <v>52</v>
      </c>
      <c r="E59" s="66"/>
      <c r="F59" s="67">
        <v>1</v>
      </c>
      <c r="G59" s="67">
        <v>0</v>
      </c>
      <c r="H59" s="67">
        <v>1</v>
      </c>
      <c r="I59" s="67">
        <v>0</v>
      </c>
      <c r="J59" s="67">
        <f t="shared" si="7"/>
        <v>2</v>
      </c>
      <c r="K59" s="68">
        <f>J59/$G$29</f>
        <v>0.5</v>
      </c>
      <c r="L59" s="69">
        <f>J59/$F$29*1000000</f>
        <v>906.20752152242869</v>
      </c>
      <c r="N59" s="44"/>
    </row>
    <row r="60" spans="2:14" x14ac:dyDescent="0.25">
      <c r="B60" s="65"/>
      <c r="C60" s="65"/>
      <c r="D60" s="70" t="s">
        <v>53</v>
      </c>
      <c r="E60" s="70"/>
      <c r="F60" s="71">
        <v>1</v>
      </c>
      <c r="G60" s="71">
        <v>0</v>
      </c>
      <c r="H60" s="71">
        <v>0</v>
      </c>
      <c r="I60" s="71">
        <v>0</v>
      </c>
      <c r="J60" s="71">
        <f t="shared" si="7"/>
        <v>1</v>
      </c>
      <c r="K60" s="72">
        <f>J60/$G$29</f>
        <v>0.25</v>
      </c>
      <c r="L60" s="73">
        <f>J60/$F$29*1000000</f>
        <v>453.10376076121435</v>
      </c>
      <c r="N60" s="44"/>
    </row>
    <row r="61" spans="2:14" x14ac:dyDescent="0.25">
      <c r="B61" s="65"/>
      <c r="C61" s="65"/>
      <c r="D61" s="66" t="s">
        <v>50</v>
      </c>
      <c r="E61" s="66"/>
      <c r="F61" s="67">
        <v>0</v>
      </c>
      <c r="G61" s="67">
        <v>0</v>
      </c>
      <c r="H61" s="67">
        <v>1</v>
      </c>
      <c r="I61" s="67">
        <v>0</v>
      </c>
      <c r="J61" s="67">
        <f t="shared" si="7"/>
        <v>1</v>
      </c>
      <c r="K61" s="68">
        <f>J61/$G$29</f>
        <v>0.25</v>
      </c>
      <c r="L61" s="69">
        <f>J61/$F$29*1000000</f>
        <v>453.10376076121435</v>
      </c>
      <c r="N61" s="44"/>
    </row>
    <row r="62" spans="2:14" x14ac:dyDescent="0.25">
      <c r="B62" s="65" t="s">
        <v>34</v>
      </c>
      <c r="C62" s="65"/>
      <c r="D62" s="66" t="s">
        <v>52</v>
      </c>
      <c r="E62" s="66"/>
      <c r="F62" s="67">
        <v>4</v>
      </c>
      <c r="G62" s="67">
        <v>0</v>
      </c>
      <c r="H62" s="67">
        <v>0</v>
      </c>
      <c r="I62" s="67">
        <v>3</v>
      </c>
      <c r="J62" s="67">
        <f t="shared" si="7"/>
        <v>7</v>
      </c>
      <c r="K62" s="68">
        <f>J62/$G$30</f>
        <v>0.58333333333333337</v>
      </c>
      <c r="L62" s="69">
        <f>J62/$F$30*1000000</f>
        <v>3867.4033149171273</v>
      </c>
      <c r="N62" s="44"/>
    </row>
    <row r="63" spans="2:14" x14ac:dyDescent="0.25">
      <c r="B63" s="65"/>
      <c r="C63" s="65"/>
      <c r="D63" s="70" t="s">
        <v>50</v>
      </c>
      <c r="E63" s="70"/>
      <c r="F63" s="71">
        <v>1</v>
      </c>
      <c r="G63" s="71">
        <v>1</v>
      </c>
      <c r="H63" s="71">
        <v>0</v>
      </c>
      <c r="I63" s="71">
        <v>1</v>
      </c>
      <c r="J63" s="71">
        <f t="shared" si="7"/>
        <v>3</v>
      </c>
      <c r="K63" s="72">
        <f>J63/$G$30</f>
        <v>0.25</v>
      </c>
      <c r="L63" s="73">
        <f>J63/$F$30*1000000</f>
        <v>1657.4585635359117</v>
      </c>
      <c r="N63" s="44"/>
    </row>
    <row r="64" spans="2:14" x14ac:dyDescent="0.25">
      <c r="B64" s="65"/>
      <c r="C64" s="65"/>
      <c r="D64" s="66" t="s">
        <v>54</v>
      </c>
      <c r="E64" s="66"/>
      <c r="F64" s="67">
        <v>0</v>
      </c>
      <c r="G64" s="67">
        <v>1</v>
      </c>
      <c r="H64" s="67">
        <v>0</v>
      </c>
      <c r="I64" s="67">
        <v>0</v>
      </c>
      <c r="J64" s="67">
        <f t="shared" si="7"/>
        <v>1</v>
      </c>
      <c r="K64" s="68">
        <f>J64/$G$30</f>
        <v>8.3333333333333329E-2</v>
      </c>
      <c r="L64" s="69">
        <f>J64/$F$30*1000000</f>
        <v>552.4861878453039</v>
      </c>
      <c r="N64" s="44"/>
    </row>
    <row r="65" spans="2:14" x14ac:dyDescent="0.25">
      <c r="B65" s="65" t="s">
        <v>36</v>
      </c>
      <c r="C65" s="65"/>
      <c r="D65" s="66" t="s">
        <v>53</v>
      </c>
      <c r="E65" s="66"/>
      <c r="F65" s="67">
        <v>2</v>
      </c>
      <c r="G65" s="67">
        <v>0</v>
      </c>
      <c r="H65" s="67">
        <v>1</v>
      </c>
      <c r="I65" s="67">
        <v>1</v>
      </c>
      <c r="J65" s="67">
        <f t="shared" si="7"/>
        <v>4</v>
      </c>
      <c r="K65" s="68">
        <f t="shared" ref="K65:K70" si="8">J65/$G$32</f>
        <v>0.13793103448275862</v>
      </c>
      <c r="L65" s="69">
        <f t="shared" ref="L65:L70" si="9">J65/$F$32*1000000</f>
        <v>447.67767207610524</v>
      </c>
      <c r="N65" s="44"/>
    </row>
    <row r="66" spans="2:14" x14ac:dyDescent="0.25">
      <c r="B66" s="65"/>
      <c r="C66" s="65"/>
      <c r="D66" s="70" t="s">
        <v>52</v>
      </c>
      <c r="E66" s="70"/>
      <c r="F66" s="71">
        <v>2</v>
      </c>
      <c r="G66" s="71">
        <v>4</v>
      </c>
      <c r="H66" s="71">
        <v>1</v>
      </c>
      <c r="I66" s="71">
        <v>0</v>
      </c>
      <c r="J66" s="71">
        <f t="shared" si="7"/>
        <v>7</v>
      </c>
      <c r="K66" s="72">
        <f t="shared" si="8"/>
        <v>0.2413793103448276</v>
      </c>
      <c r="L66" s="73">
        <f t="shared" si="9"/>
        <v>783.43592613318413</v>
      </c>
      <c r="N66" s="44"/>
    </row>
    <row r="67" spans="2:14" x14ac:dyDescent="0.25">
      <c r="B67" s="65"/>
      <c r="C67" s="65"/>
      <c r="D67" s="66" t="s">
        <v>51</v>
      </c>
      <c r="E67" s="66"/>
      <c r="F67" s="67">
        <v>2</v>
      </c>
      <c r="G67" s="67">
        <v>1</v>
      </c>
      <c r="H67" s="67">
        <v>3</v>
      </c>
      <c r="I67" s="67">
        <v>0</v>
      </c>
      <c r="J67" s="67">
        <f t="shared" si="7"/>
        <v>6</v>
      </c>
      <c r="K67" s="68">
        <f t="shared" si="8"/>
        <v>0.20689655172413793</v>
      </c>
      <c r="L67" s="69">
        <f t="shared" si="9"/>
        <v>671.51650811415777</v>
      </c>
      <c r="N67" s="44"/>
    </row>
    <row r="68" spans="2:14" x14ac:dyDescent="0.25">
      <c r="B68" s="65" t="s">
        <v>36</v>
      </c>
      <c r="C68" s="65"/>
      <c r="D68" s="70" t="s">
        <v>52</v>
      </c>
      <c r="E68" s="70"/>
      <c r="F68" s="71">
        <v>2</v>
      </c>
      <c r="G68" s="71">
        <v>4</v>
      </c>
      <c r="H68" s="71">
        <v>1</v>
      </c>
      <c r="I68" s="71">
        <v>2</v>
      </c>
      <c r="J68" s="71">
        <f t="shared" si="7"/>
        <v>9</v>
      </c>
      <c r="K68" s="72">
        <f t="shared" si="8"/>
        <v>0.31034482758620691</v>
      </c>
      <c r="L68" s="73">
        <f t="shared" si="9"/>
        <v>1007.2747621712368</v>
      </c>
      <c r="N68" s="44"/>
    </row>
    <row r="69" spans="2:14" x14ac:dyDescent="0.25">
      <c r="B69" s="65"/>
      <c r="C69" s="65"/>
      <c r="D69" s="66" t="s">
        <v>50</v>
      </c>
      <c r="E69" s="66"/>
      <c r="F69" s="67">
        <v>1</v>
      </c>
      <c r="G69" s="67">
        <v>1</v>
      </c>
      <c r="H69" s="67">
        <v>3</v>
      </c>
      <c r="I69" s="67">
        <v>2</v>
      </c>
      <c r="J69" s="67">
        <f t="shared" si="7"/>
        <v>7</v>
      </c>
      <c r="K69" s="68">
        <f t="shared" si="8"/>
        <v>0.2413793103448276</v>
      </c>
      <c r="L69" s="69">
        <f t="shared" si="9"/>
        <v>783.43592613318413</v>
      </c>
      <c r="N69" s="44"/>
    </row>
    <row r="70" spans="2:14" x14ac:dyDescent="0.25">
      <c r="B70" s="65"/>
      <c r="C70" s="65"/>
      <c r="D70" s="70" t="s">
        <v>51</v>
      </c>
      <c r="E70" s="70"/>
      <c r="F70" s="71">
        <v>2</v>
      </c>
      <c r="G70" s="71">
        <v>1</v>
      </c>
      <c r="H70" s="71">
        <v>3</v>
      </c>
      <c r="I70" s="71">
        <v>0</v>
      </c>
      <c r="J70" s="71">
        <f t="shared" si="7"/>
        <v>6</v>
      </c>
      <c r="K70" s="72">
        <f t="shared" si="8"/>
        <v>0.20689655172413793</v>
      </c>
      <c r="L70" s="73">
        <f t="shared" si="9"/>
        <v>671.51650811415777</v>
      </c>
      <c r="N70" s="44"/>
    </row>
    <row r="71" spans="2:14" x14ac:dyDescent="0.25">
      <c r="B71" s="65" t="s">
        <v>37</v>
      </c>
      <c r="C71" s="65"/>
      <c r="D71" s="66" t="s">
        <v>51</v>
      </c>
      <c r="E71" s="66"/>
      <c r="F71" s="67">
        <v>0</v>
      </c>
      <c r="G71" s="67">
        <v>0</v>
      </c>
      <c r="H71" s="67">
        <v>1</v>
      </c>
      <c r="I71" s="67">
        <v>2</v>
      </c>
      <c r="J71" s="67">
        <f t="shared" si="7"/>
        <v>3</v>
      </c>
      <c r="K71" s="68">
        <f>J71/$G$33</f>
        <v>0.375</v>
      </c>
      <c r="L71" s="69">
        <f>J71/$F$33*1000000</f>
        <v>822.81952825013707</v>
      </c>
      <c r="N71" s="44"/>
    </row>
    <row r="72" spans="2:14" x14ac:dyDescent="0.25">
      <c r="B72" s="65"/>
      <c r="C72" s="65"/>
      <c r="D72" s="70" t="s">
        <v>53</v>
      </c>
      <c r="E72" s="70"/>
      <c r="F72" s="71">
        <v>1</v>
      </c>
      <c r="G72" s="71">
        <v>0</v>
      </c>
      <c r="H72" s="71">
        <v>0</v>
      </c>
      <c r="I72" s="71">
        <v>1</v>
      </c>
      <c r="J72" s="71">
        <f t="shared" si="7"/>
        <v>2</v>
      </c>
      <c r="K72" s="72">
        <f>J72/$G$33</f>
        <v>0.25</v>
      </c>
      <c r="L72" s="73">
        <f>J72/$F$33*1000000</f>
        <v>548.54635216675808</v>
      </c>
      <c r="N72" s="44"/>
    </row>
    <row r="73" spans="2:14" x14ac:dyDescent="0.25">
      <c r="B73" s="65"/>
      <c r="C73" s="65"/>
      <c r="D73" s="66" t="s">
        <v>52</v>
      </c>
      <c r="E73" s="66"/>
      <c r="F73" s="67">
        <v>0</v>
      </c>
      <c r="G73" s="67">
        <v>0</v>
      </c>
      <c r="H73" s="67">
        <v>1</v>
      </c>
      <c r="I73" s="67">
        <v>1</v>
      </c>
      <c r="J73" s="67">
        <f t="shared" si="7"/>
        <v>2</v>
      </c>
      <c r="K73" s="68">
        <f>J73/$G$33</f>
        <v>0.25</v>
      </c>
      <c r="L73" s="69">
        <f>J73/$F$33*1000000</f>
        <v>548.54635216675808</v>
      </c>
      <c r="N73" s="44"/>
    </row>
    <row r="74" spans="2:14" x14ac:dyDescent="0.25">
      <c r="B74" s="65" t="s">
        <v>38</v>
      </c>
      <c r="C74" s="65"/>
      <c r="D74" s="70" t="s">
        <v>50</v>
      </c>
      <c r="E74" s="70"/>
      <c r="F74" s="71">
        <v>29</v>
      </c>
      <c r="G74" s="71">
        <v>11</v>
      </c>
      <c r="H74" s="71">
        <v>5</v>
      </c>
      <c r="I74" s="71">
        <v>8</v>
      </c>
      <c r="J74" s="71">
        <f t="shared" si="7"/>
        <v>53</v>
      </c>
      <c r="K74" s="72">
        <f t="shared" ref="K74:K76" si="10">J74/$G$34</f>
        <v>0.53535353535353536</v>
      </c>
      <c r="L74" s="73">
        <f t="shared" ref="L74:L76" si="11">J74/$F$34*1000000</f>
        <v>513.4713570176034</v>
      </c>
      <c r="N74" s="44"/>
    </row>
    <row r="75" spans="2:14" x14ac:dyDescent="0.25">
      <c r="B75" s="65"/>
      <c r="C75" s="65"/>
      <c r="D75" s="66" t="s">
        <v>51</v>
      </c>
      <c r="E75" s="66"/>
      <c r="F75" s="67">
        <v>7</v>
      </c>
      <c r="G75" s="67">
        <v>5</v>
      </c>
      <c r="H75" s="67">
        <v>9</v>
      </c>
      <c r="I75" s="67">
        <v>7</v>
      </c>
      <c r="J75" s="67">
        <f t="shared" si="7"/>
        <v>28</v>
      </c>
      <c r="K75" s="68">
        <f t="shared" si="10"/>
        <v>0.28282828282828282</v>
      </c>
      <c r="L75" s="69">
        <f t="shared" si="11"/>
        <v>271.26788672628101</v>
      </c>
      <c r="N75" s="44"/>
    </row>
    <row r="76" spans="2:14" x14ac:dyDescent="0.25">
      <c r="B76" s="65"/>
      <c r="C76" s="65"/>
      <c r="D76" s="70" t="s">
        <v>55</v>
      </c>
      <c r="E76" s="70"/>
      <c r="F76" s="71">
        <v>2</v>
      </c>
      <c r="G76" s="71">
        <v>0</v>
      </c>
      <c r="H76" s="71">
        <v>4</v>
      </c>
      <c r="I76" s="71">
        <v>0</v>
      </c>
      <c r="J76" s="71">
        <f t="shared" si="7"/>
        <v>6</v>
      </c>
      <c r="K76" s="72">
        <f t="shared" si="10"/>
        <v>6.0606060606060608E-2</v>
      </c>
      <c r="L76" s="73">
        <f t="shared" si="11"/>
        <v>58.12883286991736</v>
      </c>
      <c r="N76" s="44"/>
    </row>
    <row r="77" spans="2:14" x14ac:dyDescent="0.25">
      <c r="B77" s="65" t="s">
        <v>39</v>
      </c>
      <c r="C77" s="65"/>
      <c r="D77" s="66" t="s">
        <v>50</v>
      </c>
      <c r="E77" s="66"/>
      <c r="F77" s="67">
        <v>55</v>
      </c>
      <c r="G77" s="67">
        <v>19</v>
      </c>
      <c r="H77" s="67">
        <v>24</v>
      </c>
      <c r="I77" s="67">
        <v>30</v>
      </c>
      <c r="J77" s="67">
        <f t="shared" si="7"/>
        <v>128</v>
      </c>
      <c r="K77" s="68">
        <f t="shared" ref="K77:K79" si="12">J77/$G$35</f>
        <v>0.46209386281588449</v>
      </c>
      <c r="L77" s="69">
        <f>J77/$F$35*1000000</f>
        <v>771.19118914066405</v>
      </c>
      <c r="N77" s="44"/>
    </row>
    <row r="78" spans="2:14" x14ac:dyDescent="0.25">
      <c r="B78" s="65"/>
      <c r="C78" s="65"/>
      <c r="D78" s="70" t="s">
        <v>51</v>
      </c>
      <c r="E78" s="70"/>
      <c r="F78" s="71">
        <v>27</v>
      </c>
      <c r="G78" s="71">
        <v>16</v>
      </c>
      <c r="H78" s="71">
        <v>17</v>
      </c>
      <c r="I78" s="71">
        <v>15</v>
      </c>
      <c r="J78" s="71">
        <f t="shared" si="7"/>
        <v>75</v>
      </c>
      <c r="K78" s="72">
        <f t="shared" si="12"/>
        <v>0.27075812274368233</v>
      </c>
      <c r="L78" s="73">
        <f>J78/$F$35*1000000</f>
        <v>451.86983738710785</v>
      </c>
      <c r="N78" s="44"/>
    </row>
    <row r="79" spans="2:14" x14ac:dyDescent="0.25">
      <c r="B79" s="65"/>
      <c r="C79" s="65"/>
      <c r="D79" s="66" t="s">
        <v>52</v>
      </c>
      <c r="E79" s="66"/>
      <c r="F79" s="67">
        <v>11</v>
      </c>
      <c r="G79" s="67">
        <v>4</v>
      </c>
      <c r="H79" s="67">
        <v>3</v>
      </c>
      <c r="I79" s="67">
        <v>3</v>
      </c>
      <c r="J79" s="67">
        <f t="shared" si="7"/>
        <v>21</v>
      </c>
      <c r="K79" s="68">
        <f t="shared" si="12"/>
        <v>7.5812274368231042E-2</v>
      </c>
      <c r="L79" s="69">
        <f>J79/$F$35*1000000</f>
        <v>126.5235544683902</v>
      </c>
      <c r="N79" s="44"/>
    </row>
    <row r="80" spans="2:14" x14ac:dyDescent="0.25">
      <c r="B80" s="65" t="s">
        <v>40</v>
      </c>
      <c r="C80" s="65"/>
      <c r="D80" s="70" t="s">
        <v>51</v>
      </c>
      <c r="E80" s="70"/>
      <c r="F80" s="71">
        <v>3</v>
      </c>
      <c r="G80" s="71">
        <v>1</v>
      </c>
      <c r="H80" s="71">
        <v>1</v>
      </c>
      <c r="I80" s="71">
        <v>1</v>
      </c>
      <c r="J80" s="71">
        <f t="shared" si="7"/>
        <v>6</v>
      </c>
      <c r="K80" s="72">
        <f>J80/$G$36</f>
        <v>0.5</v>
      </c>
      <c r="L80" s="73">
        <f>J80/$F$36*1000000</f>
        <v>808.18965517241384</v>
      </c>
      <c r="N80" s="44"/>
    </row>
    <row r="81" spans="2:14" x14ac:dyDescent="0.25">
      <c r="B81" s="65"/>
      <c r="C81" s="65"/>
      <c r="D81" s="66" t="s">
        <v>50</v>
      </c>
      <c r="E81" s="66"/>
      <c r="F81" s="67">
        <v>0</v>
      </c>
      <c r="G81" s="67">
        <v>1</v>
      </c>
      <c r="H81" s="67">
        <v>2</v>
      </c>
      <c r="I81" s="67">
        <v>1</v>
      </c>
      <c r="J81" s="67">
        <f t="shared" si="7"/>
        <v>4</v>
      </c>
      <c r="K81" s="68">
        <f>J81/$G$36</f>
        <v>0.33333333333333331</v>
      </c>
      <c r="L81" s="69">
        <f>J81/$F$36*1000000</f>
        <v>538.79310344827582</v>
      </c>
      <c r="N81" s="44"/>
    </row>
    <row r="82" spans="2:14" x14ac:dyDescent="0.25">
      <c r="B82" s="65"/>
      <c r="C82" s="65"/>
      <c r="D82" s="70" t="s">
        <v>53</v>
      </c>
      <c r="E82" s="70"/>
      <c r="F82" s="71">
        <v>1</v>
      </c>
      <c r="G82" s="71">
        <v>0</v>
      </c>
      <c r="H82" s="71">
        <v>1</v>
      </c>
      <c r="I82" s="71">
        <v>0</v>
      </c>
      <c r="J82" s="71">
        <f t="shared" si="7"/>
        <v>2</v>
      </c>
      <c r="K82" s="72">
        <f>J82/$G$36</f>
        <v>0.16666666666666666</v>
      </c>
      <c r="L82" s="73">
        <f>J82/$F$36*1000000</f>
        <v>269.39655172413791</v>
      </c>
      <c r="N82" s="44"/>
    </row>
  </sheetData>
  <mergeCells count="25">
    <mergeCell ref="B71:C73"/>
    <mergeCell ref="B74:C76"/>
    <mergeCell ref="B77:C79"/>
    <mergeCell ref="B80:C82"/>
    <mergeCell ref="B53:C55"/>
    <mergeCell ref="B56:C58"/>
    <mergeCell ref="B59:C61"/>
    <mergeCell ref="B62:C64"/>
    <mergeCell ref="B65:C67"/>
    <mergeCell ref="B68:C70"/>
    <mergeCell ref="B40:C40"/>
    <mergeCell ref="D40:E40"/>
    <mergeCell ref="B41:C43"/>
    <mergeCell ref="B44:C46"/>
    <mergeCell ref="B47:C49"/>
    <mergeCell ref="B50:C52"/>
    <mergeCell ref="Q3:S3"/>
    <mergeCell ref="R4:S4"/>
    <mergeCell ref="B21:C22"/>
    <mergeCell ref="D21:E21"/>
    <mergeCell ref="F21:F22"/>
    <mergeCell ref="G21:I21"/>
    <mergeCell ref="J21:K21"/>
    <mergeCell ref="L21:L22"/>
    <mergeCell ref="M21:M22"/>
  </mergeCells>
  <conditionalFormatting sqref="M23:M36">
    <cfRule type="containsText" dxfId="0" priority="1" operator="containsText" text="NG">
      <formula>NOT(ISERROR(SEARCH("NG",M23)))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64" orientation="portrait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FQMS</vt:lpstr>
      <vt:lpstr>FQMS!Print_Area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2026-05-15T14:59:33Z</dcterms:created>
  <dcterms:modified xsi:type="dcterms:W3CDTF">2026-05-15T15:00:55Z</dcterms:modified>
</cp:coreProperties>
</file>